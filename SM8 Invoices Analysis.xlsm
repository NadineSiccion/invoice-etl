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vsic\Desktop\invoice-etl\invoice-etl\"/>
    </mc:Choice>
  </mc:AlternateContent>
  <xr:revisionPtr revIDLastSave="0" documentId="13_ncr:1_{50D4A2EE-4329-4708-B8BD-516741B683DE}" xr6:coauthVersionLast="47" xr6:coauthVersionMax="47" xr10:uidLastSave="{00000000-0000-0000-0000-000000000000}"/>
  <bookViews>
    <workbookView xWindow="-120" yWindow="-120" windowWidth="20730" windowHeight="11760" xr2:uid="{94FE13CE-022E-4AA8-9035-CC74DBE4E15E}"/>
  </bookViews>
  <sheets>
    <sheet name="READ ME" sheetId="11" r:id="rId1"/>
    <sheet name="Pivot Table" sheetId="10" r:id="rId2"/>
    <sheet name="JustCall Quote" sheetId="12" r:id="rId3"/>
    <sheet name="SM8 Files and Coverage" sheetId="7" state="hidden" r:id="rId4"/>
    <sheet name="SM8 Numbers" sheetId="6" r:id="rId5"/>
    <sheet name="SM8 Cleaning" sheetId="5" state="hidden" r:id="rId6"/>
    <sheet name="SM8 Descriptions" sheetId="4" state="hidden" r:id="rId7"/>
    <sheet name="SM8 Invoices" sheetId="3" r:id="rId8"/>
  </sheets>
  <definedNames>
    <definedName name="_xlcn.WorksheetConnection_SM8InvoicesAnalysis.xlsxSM8_Descriptions" hidden="1">SM8_Descriptions[]</definedName>
    <definedName name="_xlcn.WorksheetConnection_SM8InvoicesAnalysis.xlsxSM8_Files_and_Coverage" hidden="1">SM8_Files_and_Coverage[]</definedName>
    <definedName name="_xlcn.WorksheetConnection_SM8InvoicesAnalysis.xlsxSM8_Numbers" hidden="1">SM8_Numbers[]</definedName>
    <definedName name="_xleta.NOW" hidden="1" xlm="1">#NAME?</definedName>
    <definedName name="ExternalData_1" localSheetId="7" hidden="1">'SM8 Invoices'!$A$1:$E$123</definedName>
    <definedName name="ExternalData_2" localSheetId="6" hidden="1">'SM8 Descriptions'!$A$1:$G$43</definedName>
    <definedName name="ExternalData_3" localSheetId="5" hidden="1">'SM8 Cleaning'!$A$1:$L$123</definedName>
    <definedName name="ExternalData_4" localSheetId="4" hidden="1">'SM8 Numbers'!$A$1:$F$73</definedName>
    <definedName name="ExternalData_5" localSheetId="3" hidden="1">'SM8 Files and Coverage'!$A$1:$E$22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M8_Numbers" name="SM8_Numbers" connection="WorksheetConnection_SM8 Invoices Analysis.xlsx!SM8_Numbers"/>
          <x15:modelTable id="SM8_Files_and_Coverage" name="SM8_Files_and_Coverage" connection="WorksheetConnection_SM8 Invoices Analysis.xlsx!SM8_Files_and_Coverage"/>
          <x15:modelTable id="SM8_Descriptions" name="SM8_Descriptions" connection="WorksheetConnection_SM8 Invoices Analysis.xlsx!SM8_Descriptions"/>
        </x15:modelTables>
        <x15:modelRelationships>
          <x15:modelRelationship fromTable="SM8_Numbers" fromColumn="newFileName" toTable="SM8_Files_and_Coverage" toColumn="newFileName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SM8_Files_and_Coverage" columnName="Date" columnId="Date">
                <x16:calculatedTimeColumn columnName="Date (Year)" columnId="Date (Year)" contentType="years" isSelected="1"/>
                <x16:calculatedTimeColumn columnName="Date (Quarter)" columnId="Date (Quarter)" contentType="quarters" isSelected="1"/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1" l="1"/>
  <c r="K4" i="12"/>
  <c r="K5" i="12"/>
  <c r="K6" i="12"/>
  <c r="K11" i="12"/>
  <c r="K12" i="12"/>
  <c r="K13" i="12"/>
  <c r="K3" i="12"/>
  <c r="H13" i="12"/>
  <c r="H6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2FFF2B8-3F57-4DDA-A52B-F230F262B800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B109DEB2-1692-490A-B11B-6BA97D74E1D3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3" xr16:uid="{63FC47F0-3E0F-4923-930A-672D3EAD4921}" keepAlive="1" name="Query - SM8 Cleaning" description="Connection to the 'SM8 Cleaning' query in the workbook." type="5" refreshedVersion="8" saveData="1">
    <dbPr connection="Provider=Microsoft.Mashup.OleDb.1;Data Source=$Workbook$;Location=&quot;SM8 Cleaning&quot;;Extended Properties=&quot;&quot;" command="SELECT * FROM [SM8 Cleaning]"/>
  </connection>
  <connection id="4" xr16:uid="{F7183678-19D0-4CC3-A922-AE2C0C787604}" keepAlive="1" name="Query - SM8 Files and Coverage" description="Connection to the 'SM8 Files and Coverage' query in the workbook." type="5" refreshedVersion="8" saveData="1">
    <dbPr connection="Provider=Microsoft.Mashup.OleDb.1;Data Source=$Workbook$;Location=&quot;SM8 Files and Coverage&quot;;Extended Properties=&quot;&quot;" command="SELECT * FROM [SM8 Files and Coverage]"/>
  </connection>
  <connection id="5" xr16:uid="{1B267A27-E463-4739-9C94-4243B98C2341}" keepAlive="1" name="Query - SM8 Invoices RAW" description="Connection to the 'SM8 Invoices RAW' query in the workbook." type="5" refreshedVersion="8" saveData="1">
    <dbPr connection="Provider=Microsoft.Mashup.OleDb.1;Data Source=$Workbook$;Location=&quot;SM8 Invoices RAW&quot;;Extended Properties=&quot;&quot;" command="SELECT * FROM [SM8 Invoices RAW]"/>
  </connection>
  <connection id="6" xr16:uid="{1305080E-B4F5-421D-8DF5-A32541456157}" keepAlive="1" name="Query - SM8 Numbers" description="Connection to the 'SM8 Numbers' query in the workbook." type="5" refreshedVersion="8" saveData="1">
    <dbPr connection="Provider=Microsoft.Mashup.OleDb.1;Data Source=$Workbook$;Location=&quot;SM8 Numbers&quot;;Extended Properties=&quot;&quot;" command="SELECT * FROM [SM8 Numbers]"/>
  </connection>
  <connection id="7" xr16:uid="{FD6ADF7B-FAF4-4BC2-841B-E4A239025EEC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8" xr16:uid="{CF683924-0257-409B-BA17-5A2980987F1F}" keepAlive="1" name="Query - Transform Sample File" description="Connection to the 'Transform Sample File' query in the workbook." type="5" refreshedVersion="0" saveData="1">
    <dbPr connection="Provider=Microsoft.Mashup.OleDb.1;Data Source=$Workbook$;Location=&quot;Transform Sample File&quot;;Extended Properties=&quot;&quot;" command="SELECT * FROM [Transform Sample File]"/>
  </connection>
  <connection id="9" xr16:uid="{E7BAA547-99E8-4D4E-AB4F-18972FBEF25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01ACC8FB-0E6F-4461-B781-6BF1BC939055}" name="WorksheetConnection_SM8 Invoices Analysis.xlsx!SM8_Descriptions" type="102" refreshedVersion="8" minRefreshableVersion="5">
    <extLst>
      <ext xmlns:x15="http://schemas.microsoft.com/office/spreadsheetml/2010/11/main" uri="{DE250136-89BD-433C-8126-D09CA5730AF9}">
        <x15:connection id="SM8_Descriptions">
          <x15:rangePr sourceName="_xlcn.WorksheetConnection_SM8InvoicesAnalysis.xlsxSM8_Descriptions"/>
        </x15:connection>
      </ext>
    </extLst>
  </connection>
  <connection id="11" xr16:uid="{74F95A96-B1C2-4FD1-8D13-FF2CF1FC8E5B}" name="WorksheetConnection_SM8 Invoices Analysis.xlsx!SM8_Files_and_Coverage" type="102" refreshedVersion="8" minRefreshableVersion="5">
    <extLst>
      <ext xmlns:x15="http://schemas.microsoft.com/office/spreadsheetml/2010/11/main" uri="{DE250136-89BD-433C-8126-D09CA5730AF9}">
        <x15:connection id="SM8_Files_and_Coverage">
          <x15:rangePr sourceName="_xlcn.WorksheetConnection_SM8InvoicesAnalysis.xlsxSM8_Files_and_Coverage"/>
        </x15:connection>
      </ext>
    </extLst>
  </connection>
  <connection id="12" xr16:uid="{49DEB606-0DC4-436A-81CF-B54C0088A00A}" name="WorksheetConnection_SM8 Invoices Analysis.xlsx!SM8_Numbers" type="102" refreshedVersion="8" minRefreshableVersion="5">
    <extLst>
      <ext xmlns:x15="http://schemas.microsoft.com/office/spreadsheetml/2010/11/main" uri="{DE250136-89BD-433C-8126-D09CA5730AF9}">
        <x15:connection id="SM8_Numbers">
          <x15:rangePr sourceName="_xlcn.WorksheetConnection_SM8InvoicesAnalysis.xlsxSM8_Numbers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SM8_Numbers].[Category].&amp;[SMS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<sst xmlns="http://schemas.openxmlformats.org/spreadsheetml/2006/main" count="1455" uniqueCount="258">
  <si>
    <t>DESCRIPTION</t>
  </si>
  <si>
    <t>QTY</t>
  </si>
  <si>
    <t>UNIT PRICE</t>
  </si>
  <si>
    <t>PRICE (AUD)</t>
  </si>
  <si>
    <t>2450 Jobs for December 2024</t>
  </si>
  <si>
    <t>Coverage Period 1st December 2024 to 31st December 2024</t>
  </si>
  <si>
    <t>Note Initial 20 jobs are free of charge</t>
  </si>
  <si>
    <t>SMS Messages Sent</t>
  </si>
  <si>
    <t>Source.Name</t>
  </si>
  <si>
    <t>02-Apr-2025-stripe.pdf</t>
  </si>
  <si>
    <t>ServiceM8 Stripe Application Fee</t>
  </si>
  <si>
    <t>This amount will be debited from your Stripe balance before funds</t>
  </si>
  <si>
    <t>02-Apr-2025.pdf</t>
  </si>
  <si>
    <t>1853 Jobs for March 2025</t>
  </si>
  <si>
    <t>Coverage Period 1st March 2025 to 31st March 2025</t>
  </si>
  <si>
    <t>02-Feb-2025.pdf</t>
  </si>
  <si>
    <t>2716 Jobs for January 2025</t>
  </si>
  <si>
    <t>Coverage Period 1st January 2025 to 31st January 2025</t>
  </si>
  <si>
    <t>02-Jan-2025-stripe.pdf</t>
  </si>
  <si>
    <t>02-Jan-2025.pdf</t>
  </si>
  <si>
    <t>02-Jul-2025.pdf</t>
  </si>
  <si>
    <t>2142 Jobs for June 2025</t>
  </si>
  <si>
    <t>Coverage Period 1st June 2025 to 30th June 2025</t>
  </si>
  <si>
    <t>02-Mar-2025.pdf</t>
  </si>
  <si>
    <t>1776 Jobs for February 2025</t>
  </si>
  <si>
    <t>Coverage Period 1st February 2025 to 28th February 2025</t>
  </si>
  <si>
    <t>02-May-2025.pdf</t>
  </si>
  <si>
    <t>2400 Jobs for April 2025</t>
  </si>
  <si>
    <t>Coverage Period 1st April 2025 to 30th April 2025</t>
  </si>
  <si>
    <t>04-Jun-2025-stripe.pdf</t>
  </si>
  <si>
    <t>04-Jun-2025.pdf</t>
  </si>
  <si>
    <t>3053 Jobs for May 2025</t>
  </si>
  <si>
    <t>Coverage Period 1st May 2025 to 31st May 2025</t>
  </si>
  <si>
    <t>13-May-2025-annual-membership.pdf</t>
  </si>
  <si>
    <t>ServiceM8 Partner Program</t>
  </si>
  <si>
    <t>Coverage from</t>
  </si>
  <si>
    <t>Coverage to</t>
  </si>
  <si>
    <t>02-04-2025-stripe.pdf</t>
  </si>
  <si>
    <t>02-04-2025.pdf</t>
  </si>
  <si>
    <t>Coverage Period</t>
  </si>
  <si>
    <t>1st March 2025</t>
  </si>
  <si>
    <t>31st March 2025</t>
  </si>
  <si>
    <t>02-02-2025.pdf</t>
  </si>
  <si>
    <t>1st January 2025</t>
  </si>
  <si>
    <t>31st January 2025</t>
  </si>
  <si>
    <t>02-01-2025-stripe.pdf</t>
  </si>
  <si>
    <t>02-01-2025.pdf</t>
  </si>
  <si>
    <t>1st December 2024</t>
  </si>
  <si>
    <t>31st December 2024</t>
  </si>
  <si>
    <t>02-07-2025.pdf</t>
  </si>
  <si>
    <t>1st June 2025</t>
  </si>
  <si>
    <t>30th June 2025</t>
  </si>
  <si>
    <t>02-03-2025.pdf</t>
  </si>
  <si>
    <t>1st February 2025</t>
  </si>
  <si>
    <t>28th February 2025</t>
  </si>
  <si>
    <t>02-05-2025.pdf</t>
  </si>
  <si>
    <t>1st April 2025</t>
  </si>
  <si>
    <t>30th April 2025</t>
  </si>
  <si>
    <t>04-06-2025-stripe.pdf</t>
  </si>
  <si>
    <t>04-06-2025.pdf</t>
  </si>
  <si>
    <t>1st May 2025</t>
  </si>
  <si>
    <t>31st May 2025</t>
  </si>
  <si>
    <t>13-05-2025-annual-membership.pdf</t>
  </si>
  <si>
    <t>newFileName</t>
  </si>
  <si>
    <t>desc</t>
  </si>
  <si>
    <t>fileExtension</t>
  </si>
  <si>
    <t>2025-01-02</t>
  </si>
  <si>
    <t>02-01-2025</t>
  </si>
  <si>
    <t/>
  </si>
  <si>
    <t>pdf</t>
  </si>
  <si>
    <t>2025-01-02-stripe</t>
  </si>
  <si>
    <t>02-01-2025-stripe</t>
  </si>
  <si>
    <t>stripe</t>
  </si>
  <si>
    <t>2025-02-02</t>
  </si>
  <si>
    <t>02-02-2025</t>
  </si>
  <si>
    <t>2025-03-02</t>
  </si>
  <si>
    <t>02-03-2025</t>
  </si>
  <si>
    <t>2025-04-02</t>
  </si>
  <si>
    <t>02-04-2025</t>
  </si>
  <si>
    <t>2025-04-02-stripe</t>
  </si>
  <si>
    <t>02-04-2025-stripe</t>
  </si>
  <si>
    <t>2025-05-02</t>
  </si>
  <si>
    <t>02-05-2025</t>
  </si>
  <si>
    <t>2025-05-13-annual-membership</t>
  </si>
  <si>
    <t>13-05-2025-annual-membership</t>
  </si>
  <si>
    <t>annualmembership</t>
  </si>
  <si>
    <t>2025-06-04</t>
  </si>
  <si>
    <t>04-06-2025</t>
  </si>
  <si>
    <t>2025-06-04-stripe</t>
  </si>
  <si>
    <t>04-06-2025-stripe</t>
  </si>
  <si>
    <t>2025-07-02</t>
  </si>
  <si>
    <t>02-07-2025</t>
  </si>
  <si>
    <t>Index</t>
  </si>
  <si>
    <t>Index.1</t>
  </si>
  <si>
    <t>Category</t>
  </si>
  <si>
    <t>Jobs</t>
  </si>
  <si>
    <t>SMS</t>
  </si>
  <si>
    <t>Addon Forms</t>
  </si>
  <si>
    <t>2025-05-13</t>
  </si>
  <si>
    <t>Row Labels</t>
  </si>
  <si>
    <t>Grand Total</t>
  </si>
  <si>
    <t>Sum of PRICE (AUD)</t>
  </si>
  <si>
    <t>1653 Jobs for November 2024</t>
  </si>
  <si>
    <t>Coverage Period 1st November 2024 to 30th November 2024</t>
  </si>
  <si>
    <t>1st November 2024</t>
  </si>
  <si>
    <t>30th November 2024</t>
  </si>
  <si>
    <t>2024-12-03</t>
  </si>
  <si>
    <t>Date</t>
  </si>
  <si>
    <t>03-12-2024</t>
  </si>
  <si>
    <t>03-Dec-2024.pdf</t>
  </si>
  <si>
    <t>2024</t>
  </si>
  <si>
    <t>Nov</t>
  </si>
  <si>
    <t>Dec</t>
  </si>
  <si>
    <t>2025</t>
  </si>
  <si>
    <t>Jan</t>
  </si>
  <si>
    <t>Feb</t>
  </si>
  <si>
    <t>Mar</t>
  </si>
  <si>
    <t>Apr</t>
  </si>
  <si>
    <t>May</t>
  </si>
  <si>
    <t>Jun</t>
  </si>
  <si>
    <t xml:space="preserve">To use this sheet, go to Pivot Table sheet and use the pivot table. </t>
  </si>
  <si>
    <r>
      <t xml:space="preserve">Only use fields under </t>
    </r>
    <r>
      <rPr>
        <b/>
        <sz val="11"/>
        <color theme="1"/>
        <rFont val="Aptos Narrow"/>
        <family val="2"/>
        <scheme val="minor"/>
      </rPr>
      <t>SM8 Numbers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SM8 Files and Coverages</t>
    </r>
    <r>
      <rPr>
        <sz val="11"/>
        <color theme="1"/>
        <rFont val="Aptos Narrow"/>
        <family val="2"/>
        <scheme val="minor"/>
      </rPr>
      <t>.</t>
    </r>
  </si>
  <si>
    <t>The data in this sheet will be automatically updated based on the SM8 Invoices Folder.</t>
  </si>
  <si>
    <t>2024-07-03</t>
  </si>
  <si>
    <t>03-07-2024</t>
  </si>
  <si>
    <t>1st June 2024</t>
  </si>
  <si>
    <t>30th June 2024</t>
  </si>
  <si>
    <t>2024-08-02</t>
  </si>
  <si>
    <t>02-08-2024</t>
  </si>
  <si>
    <t>1st July 2024</t>
  </si>
  <si>
    <t>31st July 2024</t>
  </si>
  <si>
    <t>2024-03-02</t>
  </si>
  <si>
    <t>02-03-2024</t>
  </si>
  <si>
    <t>1st February 2024</t>
  </si>
  <si>
    <t>29th February 2024</t>
  </si>
  <si>
    <t>2024-11-03</t>
  </si>
  <si>
    <t>03-11-2024</t>
  </si>
  <si>
    <t>1st October 2024</t>
  </si>
  <si>
    <t>31st October 2024</t>
  </si>
  <si>
    <t>2024-04-02</t>
  </si>
  <si>
    <t>02-04-2024</t>
  </si>
  <si>
    <t>1st March 2024</t>
  </si>
  <si>
    <t>31st March 2024</t>
  </si>
  <si>
    <t>2024-10-02</t>
  </si>
  <si>
    <t>02-10-2024</t>
  </si>
  <si>
    <t>1st September 2024</t>
  </si>
  <si>
    <t>30th September 2024</t>
  </si>
  <si>
    <t>2024-05-02</t>
  </si>
  <si>
    <t>02-05-2024</t>
  </si>
  <si>
    <t>1st April 2024</t>
  </si>
  <si>
    <t>30th April 2024</t>
  </si>
  <si>
    <t>2024-09-03</t>
  </si>
  <si>
    <t>03-09-2024</t>
  </si>
  <si>
    <t>1st August 2024</t>
  </si>
  <si>
    <t>31st August 2024</t>
  </si>
  <si>
    <t>2024-06-03</t>
  </si>
  <si>
    <t>03-06-2024</t>
  </si>
  <si>
    <t>1st May 2024</t>
  </si>
  <si>
    <t>31st May 2024</t>
  </si>
  <si>
    <t>2024-02-03</t>
  </si>
  <si>
    <t>03-02-2024</t>
  </si>
  <si>
    <t>1st January 2024</t>
  </si>
  <si>
    <t>31st January 2024</t>
  </si>
  <si>
    <t>2023-11-02</t>
  </si>
  <si>
    <t>02-11-2023</t>
  </si>
  <si>
    <t>1st October 2023</t>
  </si>
  <si>
    <t>31st October 2023</t>
  </si>
  <si>
    <t>2023-12-02</t>
  </si>
  <si>
    <t>02-12-2023</t>
  </si>
  <si>
    <t>1st November 2023</t>
  </si>
  <si>
    <t>30th November 2023</t>
  </si>
  <si>
    <t>2024-01-02</t>
  </si>
  <si>
    <t>02-01-2024</t>
  </si>
  <si>
    <t>1st December 2023</t>
  </si>
  <si>
    <t>31st December 2023</t>
  </si>
  <si>
    <t>02-08-2024-stripe</t>
  </si>
  <si>
    <t>02-12-2023-stripe</t>
  </si>
  <si>
    <t>02-01-2024-stripe</t>
  </si>
  <si>
    <t>03-07-2024-stripe</t>
  </si>
  <si>
    <t>03-09-2024-stripe</t>
  </si>
  <si>
    <t>1314 Jobs for October 2023</t>
  </si>
  <si>
    <t>1878 Jobs for November 2023</t>
  </si>
  <si>
    <t>2023-12-02-stripe</t>
  </si>
  <si>
    <t>980 Jobs for December 2023</t>
  </si>
  <si>
    <t>2024-01-02-stripe</t>
  </si>
  <si>
    <t>686 Jobs for January 2024</t>
  </si>
  <si>
    <t>1027 Jobs for February 2024</t>
  </si>
  <si>
    <t>1043 Jobs for March 2024</t>
  </si>
  <si>
    <t>860 Jobs for April 2024</t>
  </si>
  <si>
    <t>1172 Jobs for May 2024</t>
  </si>
  <si>
    <t>1384 Jobs for June 2024</t>
  </si>
  <si>
    <t>2024-07-03-stripe</t>
  </si>
  <si>
    <t>1668 Jobs for July 2024</t>
  </si>
  <si>
    <t>2024-08-02-stripe</t>
  </si>
  <si>
    <t>1573 Jobs for August 2024</t>
  </si>
  <si>
    <t>2024-09-03-stripe</t>
  </si>
  <si>
    <t>1428 Jobs for September 2024</t>
  </si>
  <si>
    <t>1444 Jobs for October 2024</t>
  </si>
  <si>
    <t>02-Apr-2024.pdf</t>
  </si>
  <si>
    <t>Coverage Period 1st March 2024 to 31st March 2024</t>
  </si>
  <si>
    <t>02-Aug-2024-stripe.pdf</t>
  </si>
  <si>
    <t>02-Aug-2024.pdf</t>
  </si>
  <si>
    <t>Coverage Period 1st July 2024 to 31st July 2024</t>
  </si>
  <si>
    <t>02-Dec-2023-stripe.pdf</t>
  </si>
  <si>
    <t>02-Dec-2023.pdf</t>
  </si>
  <si>
    <t>Coverage Period 1st November 2023 to 30th November 2023</t>
  </si>
  <si>
    <t>02-Jan-2024-stripe.pdf</t>
  </si>
  <si>
    <t>02-Jan-2024.pdf</t>
  </si>
  <si>
    <t>Coverage Period 1st December 2023 to 31st December 2023</t>
  </si>
  <si>
    <t>02-Mar-2024.pdf</t>
  </si>
  <si>
    <t>Coverage Period 1st February 2024 to 29th February 2024</t>
  </si>
  <si>
    <t>02-May-2024.pdf</t>
  </si>
  <si>
    <t>Coverage Period 1st April 2024 to 30th April 2024</t>
  </si>
  <si>
    <t>02-Nov-2023.pdf</t>
  </si>
  <si>
    <t>Coverage Period 1st October 2023 to 31st October 2023</t>
  </si>
  <si>
    <t>02-Oct-2024.pdf</t>
  </si>
  <si>
    <t>Coverage Period 1st September 2024 to 30th September 2024</t>
  </si>
  <si>
    <t>03-Feb-2024.pdf</t>
  </si>
  <si>
    <t>Coverage Period 1st January 2024 to 31st January 2024</t>
  </si>
  <si>
    <t>03-Jul-2024-stripe.pdf</t>
  </si>
  <si>
    <t>03-Jul-2024.pdf</t>
  </si>
  <si>
    <t>Coverage Period 1st June 2024 to 30th June 2024</t>
  </si>
  <si>
    <t>03-Jun-2024.pdf</t>
  </si>
  <si>
    <t>Coverage Period 1st May 2024 to 31st May 2024</t>
  </si>
  <si>
    <t>03-Nov-2024.pdf</t>
  </si>
  <si>
    <t>Coverage Period 1st October 2024 to 31st October 2024</t>
  </si>
  <si>
    <t>03-Sep-2024-stripe.pdf</t>
  </si>
  <si>
    <t>03-Sep-2024.pdf</t>
  </si>
  <si>
    <t>Coverage Period 1st August 2024 to 31st August 2024</t>
  </si>
  <si>
    <t>2023</t>
  </si>
  <si>
    <t>Jul</t>
  </si>
  <si>
    <t>Aug</t>
  </si>
  <si>
    <t>Sep</t>
  </si>
  <si>
    <t>Oct</t>
  </si>
  <si>
    <t>2023 Total</t>
  </si>
  <si>
    <t>2024 Total</t>
  </si>
  <si>
    <t>2025 Total</t>
  </si>
  <si>
    <t>Sum of QTY</t>
  </si>
  <si>
    <t>Year</t>
  </si>
  <si>
    <t>JustCall Product</t>
  </si>
  <si>
    <t>Application</t>
  </si>
  <si>
    <t>Year 1</t>
  </si>
  <si>
    <t>Prop Plan</t>
  </si>
  <si>
    <t>Number</t>
  </si>
  <si>
    <t>Credits</t>
  </si>
  <si>
    <t>Total - A</t>
  </si>
  <si>
    <t>Call solution</t>
  </si>
  <si>
    <t>Mobile - Australia</t>
  </si>
  <si>
    <t>Automated SMS per Month</t>
  </si>
  <si>
    <t>Annual</t>
  </si>
  <si>
    <t>Annaul</t>
  </si>
  <si>
    <t>Pro Plan</t>
  </si>
  <si>
    <t>Call Solution</t>
  </si>
  <si>
    <t>User Count</t>
  </si>
  <si>
    <t>Per user cost</t>
  </si>
  <si>
    <t>Net Payable (Annually)</t>
  </si>
  <si>
    <t>Subscription Type</t>
  </si>
  <si>
    <t>Monthly Estimate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</si>
</sst>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&quot;$&quot;#,##0.00"/>
    <numFmt numFmtId="165" formatCode="_(* #,##0_);_(* \(#,##0\);_(* &quot;-&quot;??_);_(@_)"/>
    <numFmt numFmtId="166" formatCode="m\-d\-yyyy\-h\-mm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0" fontId="0" fillId="0" borderId="0" xfId="0" applyAlignment="1">
      <alignment horizontal="left" indent="1"/>
    </xf>
    <xf numFmtId="164" fontId="0" fillId="0" borderId="0" xfId="0" applyNumberFormat="1"/>
    <xf numFmtId="165" fontId="0" fillId="0" borderId="0" xfId="0" applyNumberFormat="1"/>
    <xf numFmtId="0" fontId="0" fillId="2" borderId="0" xfId="0" applyFill="1"/>
    <xf numFmtId="0" fontId="2" fillId="0" borderId="0" xfId="0" applyFont="1"/>
    <xf numFmtId="44" fontId="0" fillId="0" borderId="0" xfId="1" applyFont="1"/>
    <xf numFmtId="44" fontId="2" fillId="0" borderId="0" xfId="1" applyFont="1"/>
    <xf numFmtId="44" fontId="0" fillId="0" borderId="0" xfId="0" applyNumberFormat="1"/>
    <xf numFmtId="166" fontId="0" fillId="0" borderId="0" xfId="0" applyNumberFormat="1"/>
  </cellXfs>
  <cellStyles count="2">
    <cellStyle name="Currency" xfId="1" builtinId="4"/>
    <cellStyle name="Normal" xfId="0" builtinId="0"/>
  </cellStyles>
  <dxfs count="1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165" formatCode="_(* #,##0_);_(* \(#,##0\);_(* &quot;-&quot;??_);_(@_)"/>
    </dxf>
    <dxf>
      <numFmt numFmtId="164" formatCode="&quot;$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theme" Target="theme/theme1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[SM8 Invoices Analysis.xlsm]Pivot Table!PivotTable2</c:name>
    <c:fmtId val="24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1"/>
          <c:order val="1"/>
          <c:tx>
            <c:strRef>
              <c:f>'Pivot Table'!$C$3</c:f>
              <c:strCache>
                <c:ptCount val="1"/>
                <c:pt idx="0">
                  <c:v>Sum of QTY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'Pivot Table'!$A$4:$A$31</c:f>
              <c:multiLvlStrCache>
                <c:ptCount val="21"/>
                <c:lvl>
                  <c:pt idx="0">
                    <c:v>Oct</c:v>
                  </c:pt>
                  <c:pt idx="1">
                    <c:v>Nov</c:v>
                  </c:pt>
                  <c:pt idx="2">
                    <c:v>Dec</c:v>
                  </c:pt>
                  <c:pt idx="3">
                    <c:v>Jan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Apr</c:v>
                  </c:pt>
                  <c:pt idx="7">
                    <c:v>May</c:v>
                  </c:pt>
                  <c:pt idx="8">
                    <c:v>Jun</c:v>
                  </c:pt>
                  <c:pt idx="9">
                    <c:v>Jul</c:v>
                  </c:pt>
                  <c:pt idx="10">
                    <c:v>Aug</c:v>
                  </c:pt>
                  <c:pt idx="11">
                    <c:v>Sep</c:v>
                  </c:pt>
                  <c:pt idx="12">
                    <c:v>Oct</c:v>
                  </c:pt>
                  <c:pt idx="13">
                    <c:v>Nov</c:v>
                  </c:pt>
                  <c:pt idx="14">
                    <c:v>Dec</c:v>
                  </c:pt>
                  <c:pt idx="15">
                    <c:v>Jan</c:v>
                  </c:pt>
                  <c:pt idx="16">
                    <c:v>Feb</c:v>
                  </c:pt>
                  <c:pt idx="17">
                    <c:v>Mar</c:v>
                  </c:pt>
                  <c:pt idx="18">
                    <c:v>Apr</c:v>
                  </c:pt>
                  <c:pt idx="19">
                    <c:v>May</c:v>
                  </c:pt>
                  <c:pt idx="20">
                    <c:v>Jun</c:v>
                  </c:pt>
                </c:lvl>
                <c:lvl>
                  <c:pt idx="0">
                    <c:v>2023</c:v>
                  </c:pt>
                  <c:pt idx="3">
                    <c:v>2024</c:v>
                  </c:pt>
                  <c:pt idx="15">
                    <c:v>2025</c:v>
                  </c:pt>
                </c:lvl>
              </c:multiLvlStrCache>
            </c:multiLvlStrRef>
          </c:cat>
          <c:val>
            <c:numRef>
              <c:f>'Pivot Table'!$C$4:$C$31</c:f>
              <c:numCache>
                <c:formatCode>_(* #,##0_);_(* \(#,##0\);_(* "-"??_);_(@_)</c:formatCode>
                <c:ptCount val="21"/>
                <c:pt idx="0">
                  <c:v>18094</c:v>
                </c:pt>
                <c:pt idx="1">
                  <c:v>15878</c:v>
                </c:pt>
                <c:pt idx="2">
                  <c:v>8033</c:v>
                </c:pt>
                <c:pt idx="3">
                  <c:v>17055</c:v>
                </c:pt>
                <c:pt idx="4">
                  <c:v>18897</c:v>
                </c:pt>
                <c:pt idx="5">
                  <c:v>18640</c:v>
                </c:pt>
                <c:pt idx="6">
                  <c:v>20382</c:v>
                </c:pt>
                <c:pt idx="7">
                  <c:v>19983</c:v>
                </c:pt>
                <c:pt idx="8">
                  <c:v>21757</c:v>
                </c:pt>
                <c:pt idx="9">
                  <c:v>25778</c:v>
                </c:pt>
                <c:pt idx="10">
                  <c:v>27739</c:v>
                </c:pt>
                <c:pt idx="11">
                  <c:v>24560</c:v>
                </c:pt>
                <c:pt idx="12">
                  <c:v>33330</c:v>
                </c:pt>
                <c:pt idx="13">
                  <c:v>33726</c:v>
                </c:pt>
                <c:pt idx="14">
                  <c:v>21407</c:v>
                </c:pt>
                <c:pt idx="15">
                  <c:v>34106</c:v>
                </c:pt>
                <c:pt idx="16">
                  <c:v>36390</c:v>
                </c:pt>
                <c:pt idx="17">
                  <c:v>33341</c:v>
                </c:pt>
                <c:pt idx="18">
                  <c:v>34985</c:v>
                </c:pt>
                <c:pt idx="19">
                  <c:v>40773</c:v>
                </c:pt>
                <c:pt idx="20">
                  <c:v>45219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C0-452D-9EE4-CC2BCB202C0A}"/>
            </c:ext>
          </c:extLst>
        </c:ser>
        <c:ser>
          <c:idx val="0"/>
          <c:order val="0"/>
          <c:tx>
            <c:strRef>
              <c:f>'Pivot Table'!$B$3</c:f>
              <c:strCache>
                <c:ptCount val="1"/>
                <c:pt idx="0">
                  <c:v>Sum of PRICE (AUD)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'Pivot Table'!$A$4:$A$31</c:f>
              <c:multiLvlStrCache>
                <c:ptCount val="21"/>
                <c:lvl>
                  <c:pt idx="0">
                    <c:v>Oct</c:v>
                  </c:pt>
                  <c:pt idx="1">
                    <c:v>Nov</c:v>
                  </c:pt>
                  <c:pt idx="2">
                    <c:v>Dec</c:v>
                  </c:pt>
                  <c:pt idx="3">
                    <c:v>Jan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Apr</c:v>
                  </c:pt>
                  <c:pt idx="7">
                    <c:v>May</c:v>
                  </c:pt>
                  <c:pt idx="8">
                    <c:v>Jun</c:v>
                  </c:pt>
                  <c:pt idx="9">
                    <c:v>Jul</c:v>
                  </c:pt>
                  <c:pt idx="10">
                    <c:v>Aug</c:v>
                  </c:pt>
                  <c:pt idx="11">
                    <c:v>Sep</c:v>
                  </c:pt>
                  <c:pt idx="12">
                    <c:v>Oct</c:v>
                  </c:pt>
                  <c:pt idx="13">
                    <c:v>Nov</c:v>
                  </c:pt>
                  <c:pt idx="14">
                    <c:v>Dec</c:v>
                  </c:pt>
                  <c:pt idx="15">
                    <c:v>Jan</c:v>
                  </c:pt>
                  <c:pt idx="16">
                    <c:v>Feb</c:v>
                  </c:pt>
                  <c:pt idx="17">
                    <c:v>Mar</c:v>
                  </c:pt>
                  <c:pt idx="18">
                    <c:v>Apr</c:v>
                  </c:pt>
                  <c:pt idx="19">
                    <c:v>May</c:v>
                  </c:pt>
                  <c:pt idx="20">
                    <c:v>Jun</c:v>
                  </c:pt>
                </c:lvl>
                <c:lvl>
                  <c:pt idx="0">
                    <c:v>2023</c:v>
                  </c:pt>
                  <c:pt idx="3">
                    <c:v>2024</c:v>
                  </c:pt>
                  <c:pt idx="15">
                    <c:v>2025</c:v>
                  </c:pt>
                </c:lvl>
              </c:multiLvlStrCache>
            </c:multiLvlStrRef>
          </c:cat>
          <c:val>
            <c:numRef>
              <c:f>'Pivot Table'!$B$4:$B$31</c:f>
              <c:numCache>
                <c:formatCode>"$"#,##0.00</c:formatCode>
                <c:ptCount val="21"/>
                <c:pt idx="0">
                  <c:v>1447.52</c:v>
                </c:pt>
                <c:pt idx="1">
                  <c:v>1270.24</c:v>
                </c:pt>
                <c:pt idx="2">
                  <c:v>642.64</c:v>
                </c:pt>
                <c:pt idx="3">
                  <c:v>1364.4</c:v>
                </c:pt>
                <c:pt idx="4">
                  <c:v>1511.76</c:v>
                </c:pt>
                <c:pt idx="5">
                  <c:v>1491.2</c:v>
                </c:pt>
                <c:pt idx="6">
                  <c:v>1630.56</c:v>
                </c:pt>
                <c:pt idx="7">
                  <c:v>1598.64</c:v>
                </c:pt>
                <c:pt idx="8">
                  <c:v>1740.56</c:v>
                </c:pt>
                <c:pt idx="9">
                  <c:v>2062.2399999999998</c:v>
                </c:pt>
                <c:pt idx="10">
                  <c:v>2219.12</c:v>
                </c:pt>
                <c:pt idx="11">
                  <c:v>1964.8</c:v>
                </c:pt>
                <c:pt idx="12">
                  <c:v>2666.4</c:v>
                </c:pt>
                <c:pt idx="13">
                  <c:v>2698.08</c:v>
                </c:pt>
                <c:pt idx="14">
                  <c:v>1712.56</c:v>
                </c:pt>
                <c:pt idx="15">
                  <c:v>2728.48</c:v>
                </c:pt>
                <c:pt idx="16">
                  <c:v>2911.2</c:v>
                </c:pt>
                <c:pt idx="17">
                  <c:v>2667.28</c:v>
                </c:pt>
                <c:pt idx="18">
                  <c:v>2798.8</c:v>
                </c:pt>
                <c:pt idx="19">
                  <c:v>3261.84</c:v>
                </c:pt>
                <c:pt idx="20">
                  <c:v>3617.52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C0-452D-9EE4-CC2BCB202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3775775"/>
        <c:axId val="1643772415"/>
      </c:lineChart>
      <c:catAx>
        <c:axId val="1643775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772415"/>
        <c:crosses val="autoZero"/>
        <c:auto val="1"/>
        <c:lblAlgn val="ctr"/>
        <c:lblOffset val="100"/>
        <c:noMultiLvlLbl val="0"/>
      </c:catAx>
      <c:valAx>
        <c:axId val="1643772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3775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2771775</xdr:colOff>
          <xdr:row>5</xdr:row>
          <xdr:rowOff>76200</xdr:rowOff>
        </xdr:from>
        <xdr:to>
          <xdr:col>1</xdr:col>
          <xdr:colOff>200025</xdr:colOff>
          <xdr:row>8</xdr:row>
          <xdr:rowOff>180975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290512</xdr:colOff>
      <xdr:row>1</xdr:row>
      <xdr:rowOff>19050</xdr:rowOff>
    </xdr:from>
    <xdr:to>
      <xdr:col>6</xdr:col>
      <xdr:colOff>785812</xdr:colOff>
      <xdr:row>15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46A58DA-2AD9-862A-8111-5A4B70C88E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dine Veronica Siccion" refreshedDate="45872.598562962965" backgroundQuery="1" createdVersion="8" refreshedVersion="8" minRefreshableVersion="3" recordCount="0" supportSubquery="1" supportAdvancedDrill="1" xr:uid="{EF31A96F-7449-4555-A8AB-B39E06E21DC8}">
  <cacheSource type="external" connectionId="9"/>
  <cacheFields count="5">
    <cacheField name="[Measures].[Sum of PRICE (AUD)]" caption="Sum of PRICE (AUD)" numFmtId="0" hierarchy="27" level="32767"/>
    <cacheField name="[SM8_Files_and_Coverage].[Date (Month)].[Date (Month)]" caption="Date (Month)" numFmtId="0" hierarchy="14" level="1">
      <sharedItems count="12">
        <s v="Oct"/>
        <s v="Nov"/>
        <s v="Dec"/>
        <s v="Jan"/>
        <s v="Feb"/>
        <s v="Mar"/>
        <s v="Apr"/>
        <s v="May"/>
        <s v="Jun"/>
        <s v="Jul"/>
        <s v="Aug"/>
        <s v="Sep"/>
      </sharedItems>
    </cacheField>
    <cacheField name="[SM8_Files_and_Coverage].[Date (Year)].[Date (Year)]" caption="Date (Year)" numFmtId="0" hierarchy="12" level="1">
      <sharedItems count="3">
        <s v="2023"/>
        <s v="2024"/>
        <s v="2025"/>
      </sharedItems>
    </cacheField>
    <cacheField name="[SM8_Numbers].[Category].[Category]" caption="Category" numFmtId="0" hierarchy="17" level="1">
      <sharedItems containsSemiMixedTypes="0" containsNonDate="0" containsString="0"/>
    </cacheField>
    <cacheField name="[Measures].[Sum of QTY]" caption="Sum of QTY" numFmtId="0" hierarchy="26" level="32767"/>
  </cacheFields>
  <cacheHierarchies count="31">
    <cacheHierarchy uniqueName="[SM8_Descriptions].[Source.Name]" caption="Source.Name" attribute="1" defaultMemberUniqueName="[SM8_Descriptions].[Source.Name].[All]" allUniqueName="[SM8_Descriptions].[Source.Name].[All]" dimensionUniqueName="[SM8_Descriptions]" displayFolder="" count="0" memberValueDatatype="130" unbalanced="0"/>
    <cacheHierarchy uniqueName="[SM8_Descriptions].[DESCRIPTION]" caption="DESCRIPTION" attribute="1" defaultMemberUniqueName="[SM8_Descriptions].[DESCRIPTION].[All]" allUniqueName="[SM8_Descriptions].[DESCRIPTION].[All]" dimensionUniqueName="[SM8_Descriptions]" displayFolder="" count="0" memberValueDatatype="130" unbalanced="0"/>
    <cacheHierarchy uniqueName="[SM8_Descriptions].[Coverage from]" caption="Coverage from" attribute="1" defaultMemberUniqueName="[SM8_Descriptions].[Coverage from].[All]" allUniqueName="[SM8_Descriptions].[Coverage from].[All]" dimensionUniqueName="[SM8_Descriptions]" displayFolder="" count="0" memberValueDatatype="130" unbalanced="0"/>
    <cacheHierarchy uniqueName="[SM8_Descriptions].[Coverage to]" caption="Coverage to" attribute="1" defaultMemberUniqueName="[SM8_Descriptions].[Coverage to].[All]" allUniqueName="[SM8_Descriptions].[Coverage to].[All]" dimensionUniqueName="[SM8_Descriptions]" displayFolder="" count="0" memberValueDatatype="130" unbalanced="0"/>
    <cacheHierarchy uniqueName="[SM8_Descriptions].[QTY]" caption="QTY" attribute="1" defaultMemberUniqueName="[SM8_Descriptions].[QTY].[All]" allUniqueName="[SM8_Descriptions].[QTY].[All]" dimensionUniqueName="[SM8_Descriptions]" displayFolder="" count="0" memberValueDatatype="20" unbalanced="0"/>
    <cacheHierarchy uniqueName="[SM8_Descriptions].[UNIT PRICE]" caption="UNIT PRICE" attribute="1" defaultMemberUniqueName="[SM8_Descriptions].[UNIT PRICE].[All]" allUniqueName="[SM8_Descriptions].[UNIT PRICE].[All]" dimensionUniqueName="[SM8_Descriptions]" displayFolder="" count="0" memberValueDatatype="5" unbalanced="0"/>
    <cacheHierarchy uniqueName="[SM8_Descriptions].[PRICE (AUD)]" caption="PRICE (AUD)" attribute="1" defaultMemberUniqueName="[SM8_Descriptions].[PRICE (AUD)].[All]" allUniqueName="[SM8_Descriptions].[PRICE (AUD)].[All]" dimensionUniqueName="[SM8_Descriptions]" displayFolder="" count="0" memberValueDatatype="5" unbalanced="0"/>
    <cacheHierarchy uniqueName="[SM8_Files_and_Coverage].[newFileName]" caption="newFileName" attribute="1" defaultMemberUniqueName="[SM8_Files_and_Coverage].[newFileName].[All]" allUniqueName="[SM8_Files_and_Coverage].[newFileName].[All]" dimensionUniqueName="[SM8_Files_and_Coverage]" displayFolder="" count="0" memberValueDatatype="130" unbalanced="0"/>
    <cacheHierarchy uniqueName="[SM8_Files_and_Coverage].[Source.Name]" caption="Source.Name" attribute="1" defaultMemberUniqueName="[SM8_Files_and_Coverage].[Source.Name].[All]" allUniqueName="[SM8_Files_and_Coverage].[Source.Name].[All]" dimensionUniqueName="[SM8_Files_and_Coverage]" displayFolder="" count="0" memberValueDatatype="130" unbalanced="0"/>
    <cacheHierarchy uniqueName="[SM8_Files_and_Coverage].[Date]" caption="Date" attribute="1" time="1" defaultMemberUniqueName="[SM8_Files_and_Coverage].[Date].[All]" allUniqueName="[SM8_Files_and_Coverage].[Date].[All]" dimensionUniqueName="[SM8_Files_and_Coverage]" displayFolder="" count="0" memberValueDatatype="7" unbalanced="0"/>
    <cacheHierarchy uniqueName="[SM8_Files_and_Coverage].[Coverage from]" caption="Coverage from" attribute="1" defaultMemberUniqueName="[SM8_Files_and_Coverage].[Coverage from].[All]" allUniqueName="[SM8_Files_and_Coverage].[Coverage from].[All]" dimensionUniqueName="[SM8_Files_and_Coverage]" displayFolder="" count="0" memberValueDatatype="130" unbalanced="0"/>
    <cacheHierarchy uniqueName="[SM8_Files_and_Coverage].[Coverage to]" caption="Coverage to" attribute="1" defaultMemberUniqueName="[SM8_Files_and_Coverage].[Coverage to].[All]" allUniqueName="[SM8_Files_and_Coverage].[Coverage to].[All]" dimensionUniqueName="[SM8_Files_and_Coverage]" displayFolder="" count="0" memberValueDatatype="130" unbalanced="0"/>
    <cacheHierarchy uniqueName="[SM8_Files_and_Coverage].[Date (Year)]" caption="Date (Year)" attribute="1" defaultMemberUniqueName="[SM8_Files_and_Coverage].[Date (Year)].[All]" allUniqueName="[SM8_Files_and_Coverage].[Date (Year)].[All]" dimensionUniqueName="[SM8_Files_and_Coverage]" displayFolder="" count="2" memberValueDatatype="130" unbalanced="0">
      <fieldsUsage count="2">
        <fieldUsage x="-1"/>
        <fieldUsage x="2"/>
      </fieldsUsage>
    </cacheHierarchy>
    <cacheHierarchy uniqueName="[SM8_Files_and_Coverage].[Date (Quarter)]" caption="Date (Quarter)" attribute="1" defaultMemberUniqueName="[SM8_Files_and_Coverage].[Date (Quarter)].[All]" allUniqueName="[SM8_Files_and_Coverage].[Date (Quarter)].[All]" dimensionUniqueName="[SM8_Files_and_Coverage]" displayFolder="" count="0" memberValueDatatype="130" unbalanced="0"/>
    <cacheHierarchy uniqueName="[SM8_Files_and_Coverage].[Date (Month)]" caption="Date (Month)" attribute="1" defaultMemberUniqueName="[SM8_Files_and_Coverage].[Date (Month)].[All]" allUniqueName="[SM8_Files_and_Coverage].[Date (Month)].[All]" dimensionUniqueName="[SM8_Files_and_Coverage]" displayFolder="" count="2" memberValueDatatype="130" unbalanced="0">
      <fieldsUsage count="2">
        <fieldUsage x="-1"/>
        <fieldUsage x="1"/>
      </fieldsUsage>
    </cacheHierarchy>
    <cacheHierarchy uniqueName="[SM8_Numbers].[newFileName]" caption="newFileName" attribute="1" defaultMemberUniqueName="[SM8_Numbers].[newFileName].[All]" allUniqueName="[SM8_Numbers].[newFileName].[All]" dimensionUniqueName="[SM8_Numbers]" displayFolder="" count="0" memberValueDatatype="130" unbalanced="0"/>
    <cacheHierarchy uniqueName="[SM8_Numbers].[Source.Name]" caption="Source.Name" attribute="1" defaultMemberUniqueName="[SM8_Numbers].[Source.Name].[All]" allUniqueName="[SM8_Numbers].[Source.Name].[All]" dimensionUniqueName="[SM8_Numbers]" displayFolder="" count="0" memberValueDatatype="130" unbalanced="0"/>
    <cacheHierarchy uniqueName="[SM8_Numbers].[Category]" caption="Category" attribute="1" defaultMemberUniqueName="[SM8_Numbers].[Category].[All]" allUniqueName="[SM8_Numbers].[Category].[All]" dimensionUniqueName="[SM8_Numbers]" displayFolder="" count="2" memberValueDatatype="130" unbalanced="0">
      <fieldsUsage count="2">
        <fieldUsage x="-1"/>
        <fieldUsage x="3"/>
      </fieldsUsage>
    </cacheHierarchy>
    <cacheHierarchy uniqueName="[SM8_Numbers].[QTY]" caption="QTY" attribute="1" defaultMemberUniqueName="[SM8_Numbers].[QTY].[All]" allUniqueName="[SM8_Numbers].[QTY].[All]" dimensionUniqueName="[SM8_Numbers]" displayFolder="" count="0" memberValueDatatype="20" unbalanced="0"/>
    <cacheHierarchy uniqueName="[SM8_Numbers].[UNIT PRICE]" caption="UNIT PRICE" attribute="1" defaultMemberUniqueName="[SM8_Numbers].[UNIT PRICE].[All]" allUniqueName="[SM8_Numbers].[UNIT PRICE].[All]" dimensionUniqueName="[SM8_Numbers]" displayFolder="" count="0" memberValueDatatype="5" unbalanced="0"/>
    <cacheHierarchy uniqueName="[SM8_Numbers].[PRICE (AUD)]" caption="PRICE (AUD)" attribute="1" defaultMemberUniqueName="[SM8_Numbers].[PRICE (AUD)].[All]" allUniqueName="[SM8_Numbers].[PRICE (AUD)].[All]" dimensionUniqueName="[SM8_Numbers]" displayFolder="" count="0" memberValueDatatype="5" unbalanced="0"/>
    <cacheHierarchy uniqueName="[SM8_Files_and_Coverage].[Date (Month Index)]" caption="Date (Month Index)" attribute="1" defaultMemberUniqueName="[SM8_Files_and_Coverage].[Date (Month Index)].[All]" allUniqueName="[SM8_Files_and_Coverage].[Date (Month Index)].[All]" dimensionUniqueName="[SM8_Files_and_Coverage]" displayFolder="" count="0" memberValueDatatype="20" unbalanced="0" hidden="1"/>
    <cacheHierarchy uniqueName="[Measures].[__XL_Count SM8_Numbers]" caption="__XL_Count SM8_Numbers" measure="1" displayFolder="" measureGroup="SM8_Numbers" count="0" hidden="1"/>
    <cacheHierarchy uniqueName="[Measures].[__XL_Count SM8_Files_and_Coverage]" caption="__XL_Count SM8_Files_and_Coverage" measure="1" displayFolder="" measureGroup="SM8_Files_and_Coverage" count="0" hidden="1"/>
    <cacheHierarchy uniqueName="[Measures].[__XL_Count SM8_Descriptions]" caption="__XL_Count SM8_Descriptions" measure="1" displayFolder="" measureGroup="SM8_Descriptions" count="0" hidden="1"/>
    <cacheHierarchy uniqueName="[Measures].[__No measures defined]" caption="__No measures defined" measure="1" displayFolder="" count="0" hidden="1"/>
    <cacheHierarchy uniqueName="[Measures].[Sum of QTY]" caption="Sum of QTY" measure="1" displayFolder="" measureGroup="SM8_Number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PRICE (AUD)]" caption="Sum of PRICE (AUD)" measure="1" displayFolder="" measureGroup="SM8_Number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PRICE (AUD) 2]" caption="Sum of PRICE (AUD) 2" measure="1" displayFolder="" measureGroup="SM8_Description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UNIT PRICE]" caption="Sum of UNIT PRICE" measure="1" displayFolder="" measureGroup="SM8_Numb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Average of UNIT PRICE]" caption="Average of UNIT PRICE" measure="1" displayFolder="" measureGroup="SM8_Numbers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4">
    <dimension measure="1" name="Measures" uniqueName="[Measures]" caption="Measures"/>
    <dimension name="SM8_Descriptions" uniqueName="[SM8_Descriptions]" caption="SM8_Descriptions"/>
    <dimension name="SM8_Files_and_Coverage" uniqueName="[SM8_Files_and_Coverage]" caption="SM8_Files_and_Coverage"/>
    <dimension name="SM8_Numbers" uniqueName="[SM8_Numbers]" caption="SM8_Numbers"/>
  </dimensions>
  <measureGroups count="3">
    <measureGroup name="SM8_Descriptions" caption="SM8_Descriptions"/>
    <measureGroup name="SM8_Files_and_Coverage" caption="SM8_Files_and_Coverage"/>
    <measureGroup name="SM8_Numbers" caption="SM8_Numbers"/>
  </measureGroups>
  <maps count="4">
    <map measureGroup="0" dimension="1"/>
    <map measureGroup="1" dimension="2"/>
    <map measureGroup="2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97299A-2DC6-416C-9FAA-B18E6D93B6B7}" name="PivotTable2" cacheId="0" applyNumberFormats="0" applyBorderFormats="0" applyFontFormats="0" applyPatternFormats="0" applyAlignmentFormats="0" applyWidthHeightFormats="1" dataCaption="Values" tag="fba8d32e-8b5d-47f0-80bd-f6415625f3c2" updatedVersion="8" minRefreshableVersion="3" useAutoFormatting="1" itemPrintTitles="1" createdVersion="8" indent="0" outline="1" outlineData="1" multipleFieldFilters="0" chartFormat="28">
  <location ref="A3:C31" firstHeaderRow="0" firstDataRow="1" firstDataCol="1" rowPageCount="1" colPageCount="1"/>
  <pivotFields count="5">
    <pivotField dataField="1" subtotalTop="0" showAll="0" defaultSubtotal="0"/>
    <pivotField axis="axisRow" allDrilled="1" subtotalTop="0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allDrilled="1" subtotalTop="0" showAll="0" dataSourceSort="1">
      <items count="4">
        <item x="0"/>
        <item x="1"/>
        <item x="2"/>
        <item t="default"/>
      </items>
    </pivotField>
    <pivotField axis="axisPage" allDrilled="1" subtotalTop="0" showAll="0" dataSourceSort="1" defaultAttributeDrillState="1">
      <items count="1">
        <item t="default"/>
      </items>
    </pivotField>
    <pivotField dataField="1" subtotalTop="0" showAll="0"/>
  </pivotFields>
  <rowFields count="2">
    <field x="2"/>
    <field x="1"/>
  </rowFields>
  <rowItems count="28">
    <i>
      <x/>
    </i>
    <i r="1">
      <x/>
    </i>
    <i r="1">
      <x v="1"/>
    </i>
    <i r="1">
      <x v="2"/>
    </i>
    <i t="default">
      <x/>
    </i>
    <i>
      <x v="1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/>
    </i>
    <i r="1">
      <x v="1"/>
    </i>
    <i r="1">
      <x v="2"/>
    </i>
    <i t="default">
      <x v="1"/>
    </i>
    <i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17" name="[SM8_Numbers].[Category].&amp;[SMS]" cap="SMS"/>
  </pageFields>
  <dataFields count="2">
    <dataField name="Sum of PRICE (AUD)" fld="0" baseField="0" baseItem="0" numFmtId="164"/>
    <dataField name="Sum of QTY" fld="4" baseField="0" baseItem="0" numFmtId="165"/>
  </dataFields>
  <formats count="2">
    <format dxfId="18">
      <pivotArea outline="0" collapsedLevelsAreSubtotals="1" fieldPosition="0"/>
    </format>
    <format dxfId="1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4"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1" showColStripes="0" showLastColumn="1"/>
  <rowHierarchiesUsage count="2">
    <rowHierarchyUsage hierarchyUsage="12"/>
    <rowHierarchyUsage hierarchyUsage="1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M8_Numbers]"/>
        <x15:activeTabTopLevelEntity name="[SM8_Files_and_Coverage]"/>
        <x15:activeTabTopLevelEntity name="[SM8_Descriptions]"/>
      </x15:pivotTableUISettings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connectionId="4" xr16:uid="{FCDB273E-9FB6-4B46-8623-BF3D995F53D3}" autoFormatId="16" applyNumberFormats="0" applyBorderFormats="0" applyFontFormats="0" applyPatternFormats="0" applyAlignmentFormats="0" applyWidthHeightFormats="0">
  <queryTableRefresh nextId="7">
    <queryTableFields count="5">
      <queryTableField id="1" name="newFileName" tableColumnId="1"/>
      <queryTableField id="2" name="Source.Name" tableColumnId="2"/>
      <queryTableField id="5" name="Date" tableColumnId="5"/>
      <queryTableField id="3" name="Coverage from" tableColumnId="3"/>
      <queryTableField id="4" name="Coverage to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6" xr16:uid="{67D61102-DACC-4B5C-B1EF-7908887B673C}" autoFormatId="16" applyNumberFormats="0" applyBorderFormats="0" applyFontFormats="0" applyPatternFormats="0" applyAlignmentFormats="0" applyWidthHeightFormats="0">
  <queryTableRefresh nextId="7">
    <queryTableFields count="6">
      <queryTableField id="1" name="newFileName" tableColumnId="1"/>
      <queryTableField id="2" name="Source.Name" tableColumnId="2"/>
      <queryTableField id="3" name="Category" tableColumnId="3"/>
      <queryTableField id="4" name="QTY" tableColumnId="4"/>
      <queryTableField id="5" name="UNIT PRICE" tableColumnId="5"/>
      <queryTableField id="6" name="PRICE (AUD)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3" xr16:uid="{4C77F94F-C074-4BA7-A7AD-BD6257593BD7}" autoFormatId="16" applyNumberFormats="0" applyBorderFormats="0" applyFontFormats="0" applyPatternFormats="0" applyAlignmentFormats="0" applyWidthHeightFormats="0">
  <queryTableRefresh nextId="18">
    <queryTableFields count="12">
      <queryTableField id="8" name="newFileName" tableColumnId="8"/>
      <queryTableField id="1" name="Source.Name" tableColumnId="1"/>
      <queryTableField id="9" name="desc" tableColumnId="9"/>
      <queryTableField id="10" name="fileExtension" tableColumnId="10"/>
      <queryTableField id="2" name="DESCRIPTION" tableColumnId="2"/>
      <queryTableField id="3" name="Coverage from" tableColumnId="3"/>
      <queryTableField id="4" name="Coverage to" tableColumnId="4"/>
      <queryTableField id="5" name="QTY" tableColumnId="5"/>
      <queryTableField id="14" name="Index" tableColumnId="11"/>
      <queryTableField id="15" name="Index.1" tableColumnId="12"/>
      <queryTableField id="6" name="UNIT PRICE" tableColumnId="6"/>
      <queryTableField id="7" name="PRICE (AUD)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C8DFEE51-C6D4-4290-80B8-8F70F3C21314}" autoFormatId="16" applyNumberFormats="0" applyBorderFormats="0" applyFontFormats="0" applyPatternFormats="0" applyAlignmentFormats="0" applyWidthHeightFormats="0">
  <queryTableRefresh nextId="6">
    <queryTableFields count="5">
      <queryTableField id="1" name="Source.Name" tableColumnId="1"/>
      <queryTableField id="2" name="DESCRIPTION" tableColumnId="2"/>
      <queryTableField id="3" name="QTY" tableColumnId="3"/>
      <queryTableField id="4" name="UNIT PRICE" tableColumnId="4"/>
      <queryTableField id="5" name="PRICE (AUD)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1B66C67-E44A-43DE-AA46-4FD6C9D520AF}" name="SM8_Files_and_Coverage" displayName="SM8_Files_and_Coverage" ref="A1:E22" tableType="queryTable" totalsRowShown="0">
  <autoFilter ref="A1:E22" xr:uid="{21B66C67-E44A-43DE-AA46-4FD6C9D520AF}"/>
  <tableColumns count="5">
    <tableColumn id="1" xr3:uid="{3593E2C2-4E7C-483F-B355-C042341CDB8D}" uniqueName="1" name="newFileName" queryTableFieldId="1"/>
    <tableColumn id="2" xr3:uid="{B7365D87-B116-4CBD-8889-674975AF2B60}" uniqueName="2" name="Source.Name" queryTableFieldId="2" dataDxfId="16"/>
    <tableColumn id="5" xr3:uid="{304F1E80-522E-4C00-83B2-13172CFA8976}" uniqueName="5" name="Date" queryTableFieldId="5" dataDxfId="15"/>
    <tableColumn id="3" xr3:uid="{283CD03E-4008-4C19-8B36-BCF0924FBDA4}" uniqueName="3" name="Coverage from" queryTableFieldId="3" dataDxfId="14"/>
    <tableColumn id="4" xr3:uid="{CD089669-EE67-43D2-AC17-8BFAE53830C4}" uniqueName="4" name="Coverage to" queryTableFieldId="4" dataDxfId="1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268290-65A9-45CC-8BF2-8520C57B615C}" name="SM8_Numbers" displayName="SM8_Numbers" ref="A1:F73" tableType="queryTable" totalsRowShown="0">
  <autoFilter ref="A1:F73" xr:uid="{AD268290-65A9-45CC-8BF2-8520C57B615C}"/>
  <tableColumns count="6">
    <tableColumn id="1" xr3:uid="{A78E9929-32A9-4470-B554-B6B657D57716}" uniqueName="1" name="newFileName" queryTableFieldId="1"/>
    <tableColumn id="2" xr3:uid="{3C9CB39E-93A0-4727-8EC1-63DE0F3D6C02}" uniqueName="2" name="Source.Name" queryTableFieldId="2" dataDxfId="12"/>
    <tableColumn id="3" xr3:uid="{FEC61723-003A-4425-8752-97B467EB7420}" uniqueName="3" name="Category" queryTableFieldId="3"/>
    <tableColumn id="4" xr3:uid="{BF1F9FCC-4EEA-4FB5-84BF-7A5C46C76BFA}" uniqueName="4" name="QTY" queryTableFieldId="4"/>
    <tableColumn id="5" xr3:uid="{FF6815EC-C43B-4D5D-9AD4-2E0AD9E8D230}" uniqueName="5" name="UNIT PRICE" queryTableFieldId="5"/>
    <tableColumn id="6" xr3:uid="{6F51AF9A-22F7-4A4F-8558-E82686F4ACF4}" uniqueName="6" name="PRICE (AUD)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3EA7D6D-F298-402C-AA5E-190387E40E6F}" name="SM8_Cleaning" displayName="SM8_Cleaning" ref="A1:L123" tableType="queryTable" totalsRowShown="0">
  <autoFilter ref="A1:L123" xr:uid="{B3EA7D6D-F298-402C-AA5E-190387E40E6F}"/>
  <tableColumns count="12">
    <tableColumn id="8" xr3:uid="{731D9598-C7EF-4D2E-957F-602CC7A9BA65}" uniqueName="8" name="newFileName" queryTableFieldId="8"/>
    <tableColumn id="1" xr3:uid="{8F5DC615-72D2-4DBA-BDE7-2710B2D965E3}" uniqueName="1" name="Source.Name" queryTableFieldId="1" dataDxfId="11"/>
    <tableColumn id="9" xr3:uid="{11FD6EE1-239D-4458-9398-0BBA38F5254E}" uniqueName="9" name="desc" queryTableFieldId="9" dataDxfId="10"/>
    <tableColumn id="10" xr3:uid="{79CA955A-B4C9-47A2-AAAA-254DD661ED45}" uniqueName="10" name="fileExtension" queryTableFieldId="10" dataDxfId="9"/>
    <tableColumn id="2" xr3:uid="{53A0CF28-6BD3-4639-99C3-05AAB503B41A}" uniqueName="2" name="DESCRIPTION" queryTableFieldId="2" dataDxfId="8"/>
    <tableColumn id="3" xr3:uid="{FEE459AA-0179-4F4D-9592-9795048ABCE4}" uniqueName="3" name="Coverage from" queryTableFieldId="3" dataDxfId="7"/>
    <tableColumn id="4" xr3:uid="{55017FFD-B96C-4CC0-8E0D-55A11E83B867}" uniqueName="4" name="Coverage to" queryTableFieldId="4" dataDxfId="6"/>
    <tableColumn id="5" xr3:uid="{A3B5E5E0-093C-482F-927F-26D081DC766B}" uniqueName="5" name="QTY" queryTableFieldId="5"/>
    <tableColumn id="11" xr3:uid="{A689D8E2-DEFE-459C-8653-4603E655BADD}" uniqueName="11" name="Index" queryTableFieldId="14"/>
    <tableColumn id="12" xr3:uid="{E9A78007-0E0B-43CA-8F19-1580538C4A7D}" uniqueName="12" name="Index.1" queryTableFieldId="15"/>
    <tableColumn id="6" xr3:uid="{2FB6FF0C-7751-4E0B-82F2-046FC76AB407}" uniqueName="6" name="UNIT PRICE" queryTableFieldId="6"/>
    <tableColumn id="7" xr3:uid="{F1AD7AC7-4F00-4C5E-B722-A877CB0177AB}" uniqueName="7" name="PRICE (AUD)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715CC6-3C64-4DC7-AA10-91C7C0373D3B}" name="SM8_Descriptions" displayName="SM8_Descriptions" ref="A1:G43" totalsRowShown="0">
  <autoFilter ref="A1:G43" xr:uid="{CF715CC6-3C64-4DC7-AA10-91C7C0373D3B}"/>
  <tableColumns count="7">
    <tableColumn id="1" xr3:uid="{8739D60C-80C8-4D70-8B51-3F7A5D993108}" name="Source.Name" dataDxfId="5"/>
    <tableColumn id="2" xr3:uid="{B7849B0D-99FD-4D47-A76E-B7BC1AB3686C}" name="DESCRIPTION" dataDxfId="4"/>
    <tableColumn id="3" xr3:uid="{6CADFD7E-9828-4A57-BF68-E1FBB4CB7BD7}" name="Coverage from" dataDxfId="3"/>
    <tableColumn id="4" xr3:uid="{A892583D-F13E-4E5E-84D7-ECECB9D0036D}" name="Coverage to" dataDxfId="2"/>
    <tableColumn id="5" xr3:uid="{0DC53A74-40B9-4849-B1DD-38A395D9E579}" name="QTY"/>
    <tableColumn id="6" xr3:uid="{DC62BAFD-CA38-4962-8800-E0ED7ABB28C5}" name="UNIT PRICE"/>
    <tableColumn id="7" xr3:uid="{AC3F3C81-2ABF-48A7-B075-2D39205EB172}" name="PRICE (AUD)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09E914-B3A1-49FC-8930-C7D8170532C1}" name="SM8_Invoices_RAW" displayName="SM8_Invoices_RAW" ref="A1:E123" tableType="queryTable" totalsRowShown="0">
  <autoFilter ref="A1:E123" xr:uid="{2009E914-B3A1-49FC-8930-C7D8170532C1}"/>
  <tableColumns count="5">
    <tableColumn id="1" xr3:uid="{1C8054C6-C9F5-41D4-B956-620A744834A7}" uniqueName="1" name="Source.Name" queryTableFieldId="1" dataDxfId="1"/>
    <tableColumn id="2" xr3:uid="{BAA1AF8F-85E1-40DD-9662-89CEA2F1336B}" uniqueName="2" name="DESCRIPTION" queryTableFieldId="2" dataDxfId="0"/>
    <tableColumn id="3" xr3:uid="{49BE66AD-DBF2-4A29-8F1A-B83DC6CA489C}" uniqueName="3" name="QTY" queryTableFieldId="3"/>
    <tableColumn id="4" xr3:uid="{C54D13BD-AE30-4845-BC85-DC294BF6A3A0}" uniqueName="4" name="UNIT PRICE" queryTableFieldId="4"/>
    <tableColumn id="5" xr3:uid="{9ED3B22A-63F8-4784-BF2F-5D85B55E33D5}" uniqueName="5" name="PRICE (AUD)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6A2BC-3C32-4288-967C-AF62265E0920}">
  <sheetPr codeName="ReadMe"/>
  <dimension ref="A1:A4"/>
  <sheetViews>
    <sheetView tabSelected="1" workbookViewId="0">
      <selection activeCell="F14" sqref="F14"/>
    </sheetView>
  </sheetViews>
  <sheetFormatPr defaultRowHeight="15" x14ac:dyDescent="0.25"/>
  <cols>
    <col min="1" max="1" width="62.42578125" customWidth="1"/>
    <col min="2" max="2" width="13.5703125" bestFit="1" customWidth="1"/>
  </cols>
  <sheetData>
    <row r="1" spans="1:1" x14ac:dyDescent="0.25">
      <c r="A1" s="12">
        <f ca="1">NOW()</f>
        <v>45872.600933680558</v>
      </c>
    </row>
    <row r="2" spans="1:1" x14ac:dyDescent="0.25">
      <c r="A2" t="s">
        <v>120</v>
      </c>
    </row>
    <row r="3" spans="1:1" x14ac:dyDescent="0.25">
      <c r="A3" t="s">
        <v>121</v>
      </c>
    </row>
    <row r="4" spans="1:1" x14ac:dyDescent="0.25">
      <c r="A4" t="s">
        <v>122</v>
      </c>
    </row>
  </sheetData>
  <dataConsolidate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ExportCSV">
                <anchor moveWithCells="1" sizeWithCells="1">
                  <from>
                    <xdr:col>0</xdr:col>
                    <xdr:colOff>2771775</xdr:colOff>
                    <xdr:row>5</xdr:row>
                    <xdr:rowOff>76200</xdr:rowOff>
                  </from>
                  <to>
                    <xdr:col>1</xdr:col>
                    <xdr:colOff>200025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39FA5-D0FA-4864-8853-74D5FFE3EF4D}">
  <sheetPr codeName="Sheet2"/>
  <dimension ref="A1:C31"/>
  <sheetViews>
    <sheetView workbookViewId="0">
      <selection activeCell="I20" sqref="I20"/>
    </sheetView>
  </sheetViews>
  <sheetFormatPr defaultRowHeight="15" x14ac:dyDescent="0.25"/>
  <cols>
    <col min="1" max="1" width="13.42578125" bestFit="1" customWidth="1"/>
    <col min="2" max="2" width="19.28515625" bestFit="1" customWidth="1"/>
    <col min="3" max="3" width="11.28515625" bestFit="1" customWidth="1"/>
    <col min="4" max="4" width="21.5703125" bestFit="1" customWidth="1"/>
    <col min="5" max="18" width="19.28515625" bestFit="1" customWidth="1"/>
    <col min="19" max="19" width="16.28515625" bestFit="1" customWidth="1"/>
    <col min="20" max="21" width="24.28515625" bestFit="1" customWidth="1"/>
  </cols>
  <sheetData>
    <row r="1" spans="1:3" x14ac:dyDescent="0.25">
      <c r="A1" s="1" t="s">
        <v>94</v>
      </c>
      <c r="B1" t="s" vm="1">
        <v>96</v>
      </c>
    </row>
    <row r="3" spans="1:3" x14ac:dyDescent="0.25">
      <c r="A3" s="1" t="s">
        <v>99</v>
      </c>
      <c r="B3" t="s">
        <v>101</v>
      </c>
      <c r="C3" t="s">
        <v>237</v>
      </c>
    </row>
    <row r="4" spans="1:3" x14ac:dyDescent="0.25">
      <c r="A4" s="2" t="s">
        <v>229</v>
      </c>
      <c r="B4" s="5"/>
      <c r="C4" s="6"/>
    </row>
    <row r="5" spans="1:3" x14ac:dyDescent="0.25">
      <c r="A5" s="4" t="s">
        <v>233</v>
      </c>
      <c r="B5" s="5">
        <v>1447.52</v>
      </c>
      <c r="C5" s="6">
        <v>18094</v>
      </c>
    </row>
    <row r="6" spans="1:3" x14ac:dyDescent="0.25">
      <c r="A6" s="4" t="s">
        <v>111</v>
      </c>
      <c r="B6" s="5">
        <v>1270.24</v>
      </c>
      <c r="C6" s="6">
        <v>15878</v>
      </c>
    </row>
    <row r="7" spans="1:3" x14ac:dyDescent="0.25">
      <c r="A7" s="4" t="s">
        <v>112</v>
      </c>
      <c r="B7" s="5">
        <v>642.64</v>
      </c>
      <c r="C7" s="6">
        <v>8033</v>
      </c>
    </row>
    <row r="8" spans="1:3" x14ac:dyDescent="0.25">
      <c r="A8" s="2" t="s">
        <v>234</v>
      </c>
      <c r="B8" s="5">
        <v>3360.4</v>
      </c>
      <c r="C8" s="6">
        <v>42005</v>
      </c>
    </row>
    <row r="9" spans="1:3" x14ac:dyDescent="0.25">
      <c r="A9" s="2" t="s">
        <v>110</v>
      </c>
      <c r="B9" s="5"/>
      <c r="C9" s="6"/>
    </row>
    <row r="10" spans="1:3" x14ac:dyDescent="0.25">
      <c r="A10" s="4" t="s">
        <v>114</v>
      </c>
      <c r="B10" s="5">
        <v>1364.4</v>
      </c>
      <c r="C10" s="6">
        <v>17055</v>
      </c>
    </row>
    <row r="11" spans="1:3" x14ac:dyDescent="0.25">
      <c r="A11" s="4" t="s">
        <v>115</v>
      </c>
      <c r="B11" s="5">
        <v>1511.76</v>
      </c>
      <c r="C11" s="6">
        <v>18897</v>
      </c>
    </row>
    <row r="12" spans="1:3" x14ac:dyDescent="0.25">
      <c r="A12" s="4" t="s">
        <v>116</v>
      </c>
      <c r="B12" s="5">
        <v>1491.2</v>
      </c>
      <c r="C12" s="6">
        <v>18640</v>
      </c>
    </row>
    <row r="13" spans="1:3" x14ac:dyDescent="0.25">
      <c r="A13" s="4" t="s">
        <v>117</v>
      </c>
      <c r="B13" s="5">
        <v>1630.56</v>
      </c>
      <c r="C13" s="6">
        <v>20382</v>
      </c>
    </row>
    <row r="14" spans="1:3" x14ac:dyDescent="0.25">
      <c r="A14" s="4" t="s">
        <v>118</v>
      </c>
      <c r="B14" s="5">
        <v>1598.64</v>
      </c>
      <c r="C14" s="6">
        <v>19983</v>
      </c>
    </row>
    <row r="15" spans="1:3" x14ac:dyDescent="0.25">
      <c r="A15" s="4" t="s">
        <v>119</v>
      </c>
      <c r="B15" s="5">
        <v>1740.56</v>
      </c>
      <c r="C15" s="6">
        <v>21757</v>
      </c>
    </row>
    <row r="16" spans="1:3" x14ac:dyDescent="0.25">
      <c r="A16" s="4" t="s">
        <v>230</v>
      </c>
      <c r="B16" s="5">
        <v>2062.2399999999998</v>
      </c>
      <c r="C16" s="6">
        <v>25778</v>
      </c>
    </row>
    <row r="17" spans="1:3" x14ac:dyDescent="0.25">
      <c r="A17" s="4" t="s">
        <v>231</v>
      </c>
      <c r="B17" s="5">
        <v>2219.12</v>
      </c>
      <c r="C17" s="6">
        <v>27739</v>
      </c>
    </row>
    <row r="18" spans="1:3" x14ac:dyDescent="0.25">
      <c r="A18" s="4" t="s">
        <v>232</v>
      </c>
      <c r="B18" s="5">
        <v>1964.8</v>
      </c>
      <c r="C18" s="6">
        <v>24560</v>
      </c>
    </row>
    <row r="19" spans="1:3" x14ac:dyDescent="0.25">
      <c r="A19" s="4" t="s">
        <v>233</v>
      </c>
      <c r="B19" s="5">
        <v>2666.4</v>
      </c>
      <c r="C19" s="6">
        <v>33330</v>
      </c>
    </row>
    <row r="20" spans="1:3" x14ac:dyDescent="0.25">
      <c r="A20" s="4" t="s">
        <v>111</v>
      </c>
      <c r="B20" s="5">
        <v>2698.08</v>
      </c>
      <c r="C20" s="6">
        <v>33726</v>
      </c>
    </row>
    <row r="21" spans="1:3" x14ac:dyDescent="0.25">
      <c r="A21" s="4" t="s">
        <v>112</v>
      </c>
      <c r="B21" s="5">
        <v>1712.56</v>
      </c>
      <c r="C21" s="6">
        <v>21407</v>
      </c>
    </row>
    <row r="22" spans="1:3" x14ac:dyDescent="0.25">
      <c r="A22" s="2" t="s">
        <v>235</v>
      </c>
      <c r="B22" s="5">
        <v>22660.32</v>
      </c>
      <c r="C22" s="6">
        <v>283254</v>
      </c>
    </row>
    <row r="23" spans="1:3" x14ac:dyDescent="0.25">
      <c r="A23" s="2" t="s">
        <v>113</v>
      </c>
      <c r="B23" s="5"/>
      <c r="C23" s="6"/>
    </row>
    <row r="24" spans="1:3" x14ac:dyDescent="0.25">
      <c r="A24" s="4" t="s">
        <v>114</v>
      </c>
      <c r="B24" s="5">
        <v>2728.48</v>
      </c>
      <c r="C24" s="6">
        <v>34106</v>
      </c>
    </row>
    <row r="25" spans="1:3" x14ac:dyDescent="0.25">
      <c r="A25" s="4" t="s">
        <v>115</v>
      </c>
      <c r="B25" s="5">
        <v>2911.2</v>
      </c>
      <c r="C25" s="6">
        <v>36390</v>
      </c>
    </row>
    <row r="26" spans="1:3" x14ac:dyDescent="0.25">
      <c r="A26" s="4" t="s">
        <v>116</v>
      </c>
      <c r="B26" s="5">
        <v>2667.28</v>
      </c>
      <c r="C26" s="6">
        <v>33341</v>
      </c>
    </row>
    <row r="27" spans="1:3" x14ac:dyDescent="0.25">
      <c r="A27" s="4" t="s">
        <v>117</v>
      </c>
      <c r="B27" s="5">
        <v>2798.8</v>
      </c>
      <c r="C27" s="6">
        <v>34985</v>
      </c>
    </row>
    <row r="28" spans="1:3" x14ac:dyDescent="0.25">
      <c r="A28" s="4" t="s">
        <v>118</v>
      </c>
      <c r="B28" s="5">
        <v>3261.84</v>
      </c>
      <c r="C28" s="6">
        <v>40773</v>
      </c>
    </row>
    <row r="29" spans="1:3" x14ac:dyDescent="0.25">
      <c r="A29" s="4" t="s">
        <v>119</v>
      </c>
      <c r="B29" s="5">
        <v>3617.52</v>
      </c>
      <c r="C29" s="6">
        <v>45219</v>
      </c>
    </row>
    <row r="30" spans="1:3" x14ac:dyDescent="0.25">
      <c r="A30" s="2" t="s">
        <v>236</v>
      </c>
      <c r="B30" s="5">
        <v>17985.12</v>
      </c>
      <c r="C30" s="6">
        <v>224814</v>
      </c>
    </row>
    <row r="31" spans="1:3" x14ac:dyDescent="0.25">
      <c r="A31" s="2" t="s">
        <v>100</v>
      </c>
      <c r="B31" s="5">
        <v>44005.84</v>
      </c>
      <c r="C31" s="6">
        <v>550073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591D-6C64-457D-BE29-22C3D0495A0D}">
  <sheetPr codeName="Sheet3"/>
  <dimension ref="B1:K13"/>
  <sheetViews>
    <sheetView workbookViewId="0">
      <selection activeCell="E6" sqref="E6"/>
    </sheetView>
  </sheetViews>
  <sheetFormatPr defaultRowHeight="15" x14ac:dyDescent="0.25"/>
  <cols>
    <col min="2" max="2" width="6.28515625" bestFit="1" customWidth="1"/>
    <col min="3" max="3" width="15.7109375" bestFit="1" customWidth="1"/>
    <col min="4" max="4" width="24.28515625" bestFit="1" customWidth="1"/>
    <col min="5" max="5" width="25.28515625" customWidth="1"/>
    <col min="6" max="6" width="11.140625" bestFit="1" customWidth="1"/>
    <col min="7" max="7" width="12.7109375" bestFit="1" customWidth="1"/>
    <col min="8" max="8" width="21.7109375" bestFit="1" customWidth="1"/>
    <col min="11" max="11" width="16.42578125" customWidth="1"/>
  </cols>
  <sheetData>
    <row r="1" spans="2:11" x14ac:dyDescent="0.25">
      <c r="B1" s="7"/>
      <c r="C1" s="7"/>
      <c r="D1" s="7"/>
      <c r="E1" s="7"/>
      <c r="F1" s="7"/>
      <c r="G1" s="7"/>
      <c r="H1" s="7"/>
      <c r="I1" s="7"/>
    </row>
    <row r="2" spans="2:11" x14ac:dyDescent="0.25">
      <c r="B2" s="8" t="s">
        <v>238</v>
      </c>
      <c r="C2" s="8" t="s">
        <v>239</v>
      </c>
      <c r="D2" s="8" t="s">
        <v>240</v>
      </c>
      <c r="E2" s="8" t="s">
        <v>256</v>
      </c>
      <c r="F2" s="8" t="s">
        <v>253</v>
      </c>
      <c r="G2" s="8" t="s">
        <v>254</v>
      </c>
      <c r="H2" s="8" t="s">
        <v>255</v>
      </c>
      <c r="I2" s="8"/>
      <c r="K2" s="8" t="s">
        <v>257</v>
      </c>
    </row>
    <row r="3" spans="2:11" x14ac:dyDescent="0.25">
      <c r="B3" t="s">
        <v>241</v>
      </c>
      <c r="C3" t="s">
        <v>242</v>
      </c>
      <c r="D3" t="s">
        <v>246</v>
      </c>
      <c r="E3" t="s">
        <v>249</v>
      </c>
      <c r="F3">
        <v>10</v>
      </c>
      <c r="G3">
        <v>75</v>
      </c>
      <c r="H3" s="9">
        <v>9000</v>
      </c>
      <c r="K3" s="11">
        <f>H3/12</f>
        <v>750</v>
      </c>
    </row>
    <row r="4" spans="2:11" x14ac:dyDescent="0.25">
      <c r="C4" t="s">
        <v>243</v>
      </c>
      <c r="D4" t="s">
        <v>247</v>
      </c>
      <c r="E4" t="s">
        <v>249</v>
      </c>
      <c r="F4">
        <v>2</v>
      </c>
      <c r="G4">
        <v>13</v>
      </c>
      <c r="H4" s="9">
        <v>312</v>
      </c>
      <c r="K4" s="11">
        <f t="shared" ref="K4:K13" si="0">H4/12</f>
        <v>26</v>
      </c>
    </row>
    <row r="5" spans="2:11" x14ac:dyDescent="0.25">
      <c r="C5" t="s">
        <v>244</v>
      </c>
      <c r="D5" t="s">
        <v>248</v>
      </c>
      <c r="E5" t="s">
        <v>250</v>
      </c>
      <c r="F5">
        <v>100000</v>
      </c>
      <c r="G5">
        <v>0.08</v>
      </c>
      <c r="H5" s="9">
        <v>99600</v>
      </c>
      <c r="K5" s="11">
        <f t="shared" si="0"/>
        <v>8300</v>
      </c>
    </row>
    <row r="6" spans="2:11" s="8" customFormat="1" x14ac:dyDescent="0.25">
      <c r="C6" s="8" t="s">
        <v>245</v>
      </c>
      <c r="H6" s="10">
        <f>SUM(H3:H5)</f>
        <v>108912</v>
      </c>
      <c r="K6" s="11">
        <f t="shared" si="0"/>
        <v>9076</v>
      </c>
    </row>
    <row r="7" spans="2:11" x14ac:dyDescent="0.25">
      <c r="K7" s="11"/>
    </row>
    <row r="8" spans="2:11" x14ac:dyDescent="0.25">
      <c r="K8" s="11"/>
    </row>
    <row r="9" spans="2:11" x14ac:dyDescent="0.25">
      <c r="B9" s="7"/>
      <c r="C9" s="7"/>
      <c r="D9" s="7"/>
      <c r="E9" s="7"/>
      <c r="F9" s="7"/>
      <c r="G9" s="7"/>
      <c r="H9" s="7"/>
      <c r="I9" s="7"/>
      <c r="K9" s="11"/>
    </row>
    <row r="10" spans="2:11" x14ac:dyDescent="0.25">
      <c r="B10" s="8" t="s">
        <v>238</v>
      </c>
      <c r="C10" s="8" t="s">
        <v>239</v>
      </c>
      <c r="D10" s="8" t="s">
        <v>240</v>
      </c>
      <c r="E10" s="8" t="s">
        <v>256</v>
      </c>
      <c r="F10" s="8" t="s">
        <v>253</v>
      </c>
      <c r="G10" s="8" t="s">
        <v>254</v>
      </c>
      <c r="H10" s="8" t="s">
        <v>255</v>
      </c>
      <c r="I10" s="8"/>
      <c r="K10" s="11"/>
    </row>
    <row r="11" spans="2:11" x14ac:dyDescent="0.25">
      <c r="B11" t="s">
        <v>241</v>
      </c>
      <c r="C11" t="s">
        <v>251</v>
      </c>
      <c r="D11" t="s">
        <v>252</v>
      </c>
      <c r="E11" t="s">
        <v>249</v>
      </c>
      <c r="F11">
        <v>10</v>
      </c>
      <c r="G11">
        <v>75</v>
      </c>
      <c r="H11" s="9">
        <v>9000</v>
      </c>
      <c r="K11" s="11">
        <f t="shared" si="0"/>
        <v>750</v>
      </c>
    </row>
    <row r="12" spans="2:11" x14ac:dyDescent="0.25">
      <c r="C12" t="s">
        <v>243</v>
      </c>
      <c r="D12" t="s">
        <v>247</v>
      </c>
      <c r="E12" t="s">
        <v>249</v>
      </c>
      <c r="F12">
        <v>2</v>
      </c>
      <c r="G12">
        <v>10</v>
      </c>
      <c r="H12" s="9">
        <v>240</v>
      </c>
      <c r="K12" s="11">
        <f t="shared" si="0"/>
        <v>20</v>
      </c>
    </row>
    <row r="13" spans="2:11" s="8" customFormat="1" x14ac:dyDescent="0.25">
      <c r="C13" s="8" t="s">
        <v>245</v>
      </c>
      <c r="H13" s="10">
        <f>SUM(H11:H12)</f>
        <v>9240</v>
      </c>
      <c r="K13" s="11">
        <f t="shared" si="0"/>
        <v>770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4B072-920A-4F1A-BD89-891AD1B4489B}">
  <sheetPr codeName="Sheet4"/>
  <dimension ref="A1:E22"/>
  <sheetViews>
    <sheetView workbookViewId="0">
      <selection sqref="A1:E9"/>
    </sheetView>
  </sheetViews>
  <sheetFormatPr defaultRowHeight="15" x14ac:dyDescent="0.25"/>
  <cols>
    <col min="1" max="1" width="15.7109375" bestFit="1" customWidth="1"/>
    <col min="2" max="2" width="15.5703125" bestFit="1" customWidth="1"/>
    <col min="3" max="3" width="10.42578125" bestFit="1" customWidth="1"/>
    <col min="4" max="4" width="18" bestFit="1" customWidth="1"/>
    <col min="5" max="5" width="19.140625" bestFit="1" customWidth="1"/>
  </cols>
  <sheetData>
    <row r="1" spans="1:5" x14ac:dyDescent="0.25">
      <c r="A1" t="s">
        <v>63</v>
      </c>
      <c r="B1" t="s">
        <v>8</v>
      </c>
      <c r="C1" t="s">
        <v>107</v>
      </c>
      <c r="D1" t="s">
        <v>35</v>
      </c>
      <c r="E1" t="s">
        <v>36</v>
      </c>
    </row>
    <row r="2" spans="1:5" x14ac:dyDescent="0.25">
      <c r="A2" t="s">
        <v>123</v>
      </c>
      <c r="B2" t="s">
        <v>124</v>
      </c>
      <c r="C2" s="3">
        <v>45473</v>
      </c>
      <c r="D2" t="s">
        <v>125</v>
      </c>
      <c r="E2" t="s">
        <v>126</v>
      </c>
    </row>
    <row r="3" spans="1:5" x14ac:dyDescent="0.25">
      <c r="A3" t="s">
        <v>106</v>
      </c>
      <c r="B3" t="s">
        <v>108</v>
      </c>
      <c r="C3" s="3">
        <v>45626</v>
      </c>
      <c r="D3" t="s">
        <v>104</v>
      </c>
      <c r="E3" t="s">
        <v>105</v>
      </c>
    </row>
    <row r="4" spans="1:5" x14ac:dyDescent="0.25">
      <c r="A4" t="s">
        <v>127</v>
      </c>
      <c r="B4" t="s">
        <v>128</v>
      </c>
      <c r="C4" s="3">
        <v>45504</v>
      </c>
      <c r="D4" t="s">
        <v>129</v>
      </c>
      <c r="E4" t="s">
        <v>130</v>
      </c>
    </row>
    <row r="5" spans="1:5" x14ac:dyDescent="0.25">
      <c r="A5" t="s">
        <v>131</v>
      </c>
      <c r="B5" t="s">
        <v>132</v>
      </c>
      <c r="C5" s="3">
        <v>45351</v>
      </c>
      <c r="D5" t="s">
        <v>133</v>
      </c>
      <c r="E5" t="s">
        <v>134</v>
      </c>
    </row>
    <row r="6" spans="1:5" x14ac:dyDescent="0.25">
      <c r="A6" t="s">
        <v>135</v>
      </c>
      <c r="B6" t="s">
        <v>136</v>
      </c>
      <c r="C6" s="3">
        <v>45596</v>
      </c>
      <c r="D6" t="s">
        <v>137</v>
      </c>
      <c r="E6" t="s">
        <v>138</v>
      </c>
    </row>
    <row r="7" spans="1:5" x14ac:dyDescent="0.25">
      <c r="A7" t="s">
        <v>139</v>
      </c>
      <c r="B7" t="s">
        <v>140</v>
      </c>
      <c r="C7" s="3">
        <v>45382</v>
      </c>
      <c r="D7" t="s">
        <v>141</v>
      </c>
      <c r="E7" t="s">
        <v>142</v>
      </c>
    </row>
    <row r="8" spans="1:5" x14ac:dyDescent="0.25">
      <c r="A8" t="s">
        <v>143</v>
      </c>
      <c r="B8" t="s">
        <v>144</v>
      </c>
      <c r="C8" s="3">
        <v>45565</v>
      </c>
      <c r="D8" t="s">
        <v>145</v>
      </c>
      <c r="E8" t="s">
        <v>146</v>
      </c>
    </row>
    <row r="9" spans="1:5" x14ac:dyDescent="0.25">
      <c r="A9" t="s">
        <v>147</v>
      </c>
      <c r="B9" t="s">
        <v>148</v>
      </c>
      <c r="C9" s="3">
        <v>45412</v>
      </c>
      <c r="D9" t="s">
        <v>149</v>
      </c>
      <c r="E9" t="s">
        <v>150</v>
      </c>
    </row>
    <row r="10" spans="1:5" x14ac:dyDescent="0.25">
      <c r="A10" t="s">
        <v>151</v>
      </c>
      <c r="B10" t="s">
        <v>152</v>
      </c>
      <c r="C10" s="3">
        <v>45535</v>
      </c>
      <c r="D10" t="s">
        <v>153</v>
      </c>
      <c r="E10" t="s">
        <v>154</v>
      </c>
    </row>
    <row r="11" spans="1:5" x14ac:dyDescent="0.25">
      <c r="A11" t="s">
        <v>155</v>
      </c>
      <c r="B11" t="s">
        <v>156</v>
      </c>
      <c r="C11" s="3">
        <v>45443</v>
      </c>
      <c r="D11" t="s">
        <v>157</v>
      </c>
      <c r="E11" t="s">
        <v>158</v>
      </c>
    </row>
    <row r="12" spans="1:5" x14ac:dyDescent="0.25">
      <c r="A12" t="s">
        <v>90</v>
      </c>
      <c r="B12" t="s">
        <v>91</v>
      </c>
      <c r="C12" s="3">
        <v>45838</v>
      </c>
      <c r="D12" t="s">
        <v>50</v>
      </c>
      <c r="E12" t="s">
        <v>51</v>
      </c>
    </row>
    <row r="13" spans="1:5" x14ac:dyDescent="0.25">
      <c r="A13" t="s">
        <v>159</v>
      </c>
      <c r="B13" t="s">
        <v>160</v>
      </c>
      <c r="C13" s="3">
        <v>45322</v>
      </c>
      <c r="D13" t="s">
        <v>161</v>
      </c>
      <c r="E13" t="s">
        <v>162</v>
      </c>
    </row>
    <row r="14" spans="1:5" x14ac:dyDescent="0.25">
      <c r="A14" t="s">
        <v>163</v>
      </c>
      <c r="B14" t="s">
        <v>164</v>
      </c>
      <c r="C14" s="3">
        <v>45230</v>
      </c>
      <c r="D14" t="s">
        <v>165</v>
      </c>
      <c r="E14" t="s">
        <v>166</v>
      </c>
    </row>
    <row r="15" spans="1:5" x14ac:dyDescent="0.25">
      <c r="A15" t="s">
        <v>86</v>
      </c>
      <c r="B15" t="s">
        <v>87</v>
      </c>
      <c r="C15" s="3">
        <v>45808</v>
      </c>
      <c r="D15" t="s">
        <v>60</v>
      </c>
      <c r="E15" t="s">
        <v>61</v>
      </c>
    </row>
    <row r="16" spans="1:5" x14ac:dyDescent="0.25">
      <c r="A16" t="s">
        <v>167</v>
      </c>
      <c r="B16" t="s">
        <v>168</v>
      </c>
      <c r="C16" s="3">
        <v>45260</v>
      </c>
      <c r="D16" t="s">
        <v>169</v>
      </c>
      <c r="E16" t="s">
        <v>170</v>
      </c>
    </row>
    <row r="17" spans="1:5" x14ac:dyDescent="0.25">
      <c r="A17" t="s">
        <v>81</v>
      </c>
      <c r="B17" t="s">
        <v>82</v>
      </c>
      <c r="C17" s="3">
        <v>45777</v>
      </c>
      <c r="D17" t="s">
        <v>56</v>
      </c>
      <c r="E17" t="s">
        <v>57</v>
      </c>
    </row>
    <row r="18" spans="1:5" x14ac:dyDescent="0.25">
      <c r="A18" t="s">
        <v>66</v>
      </c>
      <c r="B18" t="s">
        <v>67</v>
      </c>
      <c r="C18" s="3">
        <v>45657</v>
      </c>
      <c r="D18" t="s">
        <v>47</v>
      </c>
      <c r="E18" t="s">
        <v>48</v>
      </c>
    </row>
    <row r="19" spans="1:5" x14ac:dyDescent="0.25">
      <c r="A19" t="s">
        <v>77</v>
      </c>
      <c r="B19" t="s">
        <v>78</v>
      </c>
      <c r="C19" s="3">
        <v>45747</v>
      </c>
      <c r="D19" t="s">
        <v>40</v>
      </c>
      <c r="E19" t="s">
        <v>41</v>
      </c>
    </row>
    <row r="20" spans="1:5" x14ac:dyDescent="0.25">
      <c r="A20" t="s">
        <v>75</v>
      </c>
      <c r="B20" t="s">
        <v>76</v>
      </c>
      <c r="C20" s="3">
        <v>45716</v>
      </c>
      <c r="D20" t="s">
        <v>53</v>
      </c>
      <c r="E20" t="s">
        <v>54</v>
      </c>
    </row>
    <row r="21" spans="1:5" x14ac:dyDescent="0.25">
      <c r="A21" t="s">
        <v>171</v>
      </c>
      <c r="B21" t="s">
        <v>172</v>
      </c>
      <c r="C21" s="3">
        <v>45291</v>
      </c>
      <c r="D21" t="s">
        <v>173</v>
      </c>
      <c r="E21" t="s">
        <v>174</v>
      </c>
    </row>
    <row r="22" spans="1:5" x14ac:dyDescent="0.25">
      <c r="A22" t="s">
        <v>73</v>
      </c>
      <c r="B22" t="s">
        <v>74</v>
      </c>
      <c r="C22" s="3">
        <v>45688</v>
      </c>
      <c r="D22" t="s">
        <v>43</v>
      </c>
      <c r="E22" t="s">
        <v>44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6914A-6E43-4A2E-9D14-14B09F4BF2C4}">
  <sheetPr codeName="SM8Numbers"/>
  <dimension ref="A1:F73"/>
  <sheetViews>
    <sheetView workbookViewId="0">
      <selection sqref="A1:F73"/>
    </sheetView>
  </sheetViews>
  <sheetFormatPr defaultRowHeight="15" x14ac:dyDescent="0.25"/>
  <cols>
    <col min="1" max="1" width="15.7109375" bestFit="1" customWidth="1"/>
    <col min="2" max="2" width="30" bestFit="1" customWidth="1"/>
    <col min="3" max="3" width="18.7109375" bestFit="1" customWidth="1"/>
    <col min="4" max="4" width="6.85546875" bestFit="1" customWidth="1"/>
    <col min="5" max="5" width="13.5703125" bestFit="1" customWidth="1"/>
    <col min="6" max="6" width="14.5703125" bestFit="1" customWidth="1"/>
  </cols>
  <sheetData>
    <row r="1" spans="1:6" x14ac:dyDescent="0.25">
      <c r="A1" t="s">
        <v>63</v>
      </c>
      <c r="B1" t="s">
        <v>8</v>
      </c>
      <c r="C1" t="s">
        <v>94</v>
      </c>
      <c r="D1" t="s">
        <v>1</v>
      </c>
      <c r="E1" t="s">
        <v>2</v>
      </c>
      <c r="F1" t="s">
        <v>3</v>
      </c>
    </row>
    <row r="2" spans="1:6" x14ac:dyDescent="0.25">
      <c r="A2" t="s">
        <v>139</v>
      </c>
      <c r="B2" t="s">
        <v>140</v>
      </c>
      <c r="C2" t="s">
        <v>95</v>
      </c>
      <c r="D2">
        <v>1023</v>
      </c>
      <c r="E2">
        <v>0.35</v>
      </c>
      <c r="F2">
        <v>358.05</v>
      </c>
    </row>
    <row r="3" spans="1:6" x14ac:dyDescent="0.25">
      <c r="A3" t="s">
        <v>139</v>
      </c>
      <c r="B3" t="s">
        <v>140</v>
      </c>
      <c r="C3" t="s">
        <v>96</v>
      </c>
      <c r="D3">
        <v>18640</v>
      </c>
      <c r="E3">
        <v>0.08</v>
      </c>
      <c r="F3">
        <v>1491.2</v>
      </c>
    </row>
    <row r="4" spans="1:6" x14ac:dyDescent="0.25">
      <c r="A4" t="s">
        <v>139</v>
      </c>
      <c r="B4" t="s">
        <v>140</v>
      </c>
      <c r="C4" t="s">
        <v>97</v>
      </c>
      <c r="D4">
        <v>10</v>
      </c>
      <c r="E4">
        <v>0.35</v>
      </c>
      <c r="F4">
        <v>3.5</v>
      </c>
    </row>
    <row r="5" spans="1:6" x14ac:dyDescent="0.25">
      <c r="A5" t="s">
        <v>77</v>
      </c>
      <c r="B5" t="s">
        <v>80</v>
      </c>
      <c r="C5" t="s">
        <v>72</v>
      </c>
      <c r="D5">
        <v>1</v>
      </c>
      <c r="E5">
        <v>1.92</v>
      </c>
      <c r="F5">
        <v>1.92</v>
      </c>
    </row>
    <row r="6" spans="1:6" x14ac:dyDescent="0.25">
      <c r="A6" t="s">
        <v>77</v>
      </c>
      <c r="B6" t="s">
        <v>78</v>
      </c>
      <c r="C6" t="s">
        <v>95</v>
      </c>
      <c r="D6">
        <v>1833</v>
      </c>
      <c r="E6">
        <v>0.35</v>
      </c>
      <c r="F6">
        <v>641.54999999999995</v>
      </c>
    </row>
    <row r="7" spans="1:6" x14ac:dyDescent="0.25">
      <c r="A7" t="s">
        <v>77</v>
      </c>
      <c r="B7" t="s">
        <v>78</v>
      </c>
      <c r="C7" t="s">
        <v>96</v>
      </c>
      <c r="D7">
        <v>33341</v>
      </c>
      <c r="E7">
        <v>0.08</v>
      </c>
      <c r="F7">
        <v>2667.28</v>
      </c>
    </row>
    <row r="8" spans="1:6" x14ac:dyDescent="0.25">
      <c r="A8" t="s">
        <v>77</v>
      </c>
      <c r="B8" t="s">
        <v>78</v>
      </c>
      <c r="C8" t="s">
        <v>97</v>
      </c>
      <c r="D8">
        <v>10</v>
      </c>
      <c r="E8">
        <v>0.35</v>
      </c>
      <c r="F8">
        <v>3.5</v>
      </c>
    </row>
    <row r="9" spans="1:6" x14ac:dyDescent="0.25">
      <c r="A9" t="s">
        <v>127</v>
      </c>
      <c r="B9" t="s">
        <v>175</v>
      </c>
      <c r="C9" t="s">
        <v>72</v>
      </c>
      <c r="D9">
        <v>1</v>
      </c>
      <c r="E9">
        <v>0.18</v>
      </c>
      <c r="F9">
        <v>0.18</v>
      </c>
    </row>
    <row r="10" spans="1:6" x14ac:dyDescent="0.25">
      <c r="A10" t="s">
        <v>127</v>
      </c>
      <c r="B10" t="s">
        <v>128</v>
      </c>
      <c r="C10" t="s">
        <v>95</v>
      </c>
      <c r="D10">
        <v>1648</v>
      </c>
      <c r="E10">
        <v>0.35</v>
      </c>
      <c r="F10">
        <v>576.79999999999995</v>
      </c>
    </row>
    <row r="11" spans="1:6" x14ac:dyDescent="0.25">
      <c r="A11" t="s">
        <v>127</v>
      </c>
      <c r="B11" t="s">
        <v>128</v>
      </c>
      <c r="C11" t="s">
        <v>96</v>
      </c>
      <c r="D11">
        <v>25778</v>
      </c>
      <c r="E11">
        <v>0.08</v>
      </c>
      <c r="F11">
        <v>2062.2399999999998</v>
      </c>
    </row>
    <row r="12" spans="1:6" x14ac:dyDescent="0.25">
      <c r="A12" t="s">
        <v>127</v>
      </c>
      <c r="B12" t="s">
        <v>128</v>
      </c>
      <c r="C12" t="s">
        <v>97</v>
      </c>
      <c r="D12">
        <v>10</v>
      </c>
      <c r="E12">
        <v>0.35</v>
      </c>
      <c r="F12">
        <v>3.5</v>
      </c>
    </row>
    <row r="13" spans="1:6" x14ac:dyDescent="0.25">
      <c r="A13" t="s">
        <v>167</v>
      </c>
      <c r="B13" t="s">
        <v>176</v>
      </c>
      <c r="C13" t="s">
        <v>72</v>
      </c>
      <c r="D13">
        <v>1</v>
      </c>
      <c r="E13">
        <v>2.7</v>
      </c>
      <c r="F13">
        <v>2.7</v>
      </c>
    </row>
    <row r="14" spans="1:6" x14ac:dyDescent="0.25">
      <c r="A14" t="s">
        <v>167</v>
      </c>
      <c r="B14" t="s">
        <v>168</v>
      </c>
      <c r="C14" t="s">
        <v>95</v>
      </c>
      <c r="D14">
        <v>1858</v>
      </c>
      <c r="E14">
        <v>0.35</v>
      </c>
      <c r="F14">
        <v>650.29999999999995</v>
      </c>
    </row>
    <row r="15" spans="1:6" x14ac:dyDescent="0.25">
      <c r="A15" t="s">
        <v>167</v>
      </c>
      <c r="B15" t="s">
        <v>168</v>
      </c>
      <c r="C15" t="s">
        <v>96</v>
      </c>
      <c r="D15">
        <v>15878</v>
      </c>
      <c r="E15">
        <v>0.08</v>
      </c>
      <c r="F15">
        <v>1270.24</v>
      </c>
    </row>
    <row r="16" spans="1:6" x14ac:dyDescent="0.25">
      <c r="A16" t="s">
        <v>167</v>
      </c>
      <c r="B16" t="s">
        <v>168</v>
      </c>
      <c r="C16" t="s">
        <v>97</v>
      </c>
      <c r="D16">
        <v>10</v>
      </c>
      <c r="E16">
        <v>0.35</v>
      </c>
      <c r="F16">
        <v>3.5</v>
      </c>
    </row>
    <row r="17" spans="1:6" x14ac:dyDescent="0.25">
      <c r="A17" t="s">
        <v>73</v>
      </c>
      <c r="B17" t="s">
        <v>74</v>
      </c>
      <c r="C17" t="s">
        <v>95</v>
      </c>
      <c r="D17">
        <v>2696</v>
      </c>
      <c r="E17">
        <v>0.35</v>
      </c>
      <c r="F17">
        <v>943.6</v>
      </c>
    </row>
    <row r="18" spans="1:6" x14ac:dyDescent="0.25">
      <c r="A18" t="s">
        <v>73</v>
      </c>
      <c r="B18" t="s">
        <v>74</v>
      </c>
      <c r="C18" t="s">
        <v>96</v>
      </c>
      <c r="D18">
        <v>34106</v>
      </c>
      <c r="E18">
        <v>0.08</v>
      </c>
      <c r="F18">
        <v>2728.48</v>
      </c>
    </row>
    <row r="19" spans="1:6" x14ac:dyDescent="0.25">
      <c r="A19" t="s">
        <v>73</v>
      </c>
      <c r="B19" t="s">
        <v>74</v>
      </c>
      <c r="C19" t="s">
        <v>97</v>
      </c>
      <c r="D19">
        <v>10</v>
      </c>
      <c r="E19">
        <v>0.35</v>
      </c>
      <c r="F19">
        <v>3.5</v>
      </c>
    </row>
    <row r="20" spans="1:6" x14ac:dyDescent="0.25">
      <c r="A20" t="s">
        <v>171</v>
      </c>
      <c r="B20" t="s">
        <v>177</v>
      </c>
      <c r="C20" t="s">
        <v>72</v>
      </c>
      <c r="D20">
        <v>1</v>
      </c>
      <c r="E20">
        <v>1.78</v>
      </c>
      <c r="F20">
        <v>1.78</v>
      </c>
    </row>
    <row r="21" spans="1:6" x14ac:dyDescent="0.25">
      <c r="A21" t="s">
        <v>171</v>
      </c>
      <c r="B21" t="s">
        <v>172</v>
      </c>
      <c r="C21" t="s">
        <v>95</v>
      </c>
      <c r="D21">
        <v>960</v>
      </c>
      <c r="E21">
        <v>0.35</v>
      </c>
      <c r="F21">
        <v>336</v>
      </c>
    </row>
    <row r="22" spans="1:6" x14ac:dyDescent="0.25">
      <c r="A22" t="s">
        <v>171</v>
      </c>
      <c r="B22" t="s">
        <v>172</v>
      </c>
      <c r="C22" t="s">
        <v>96</v>
      </c>
      <c r="D22">
        <v>8033</v>
      </c>
      <c r="E22">
        <v>0.08</v>
      </c>
      <c r="F22">
        <v>642.64</v>
      </c>
    </row>
    <row r="23" spans="1:6" x14ac:dyDescent="0.25">
      <c r="A23" t="s">
        <v>171</v>
      </c>
      <c r="B23" t="s">
        <v>172</v>
      </c>
      <c r="C23" t="s">
        <v>97</v>
      </c>
      <c r="D23">
        <v>10</v>
      </c>
      <c r="E23">
        <v>0.35</v>
      </c>
      <c r="F23">
        <v>3.5</v>
      </c>
    </row>
    <row r="24" spans="1:6" x14ac:dyDescent="0.25">
      <c r="A24" t="s">
        <v>66</v>
      </c>
      <c r="B24" t="s">
        <v>71</v>
      </c>
      <c r="C24" t="s">
        <v>72</v>
      </c>
      <c r="D24">
        <v>1</v>
      </c>
      <c r="E24">
        <v>4.2699999999999996</v>
      </c>
      <c r="F24">
        <v>4.2699999999999996</v>
      </c>
    </row>
    <row r="25" spans="1:6" x14ac:dyDescent="0.25">
      <c r="A25" t="s">
        <v>66</v>
      </c>
      <c r="B25" t="s">
        <v>67</v>
      </c>
      <c r="C25" t="s">
        <v>95</v>
      </c>
      <c r="D25">
        <v>2430</v>
      </c>
      <c r="E25">
        <v>0.35</v>
      </c>
      <c r="F25">
        <v>850.5</v>
      </c>
    </row>
    <row r="26" spans="1:6" x14ac:dyDescent="0.25">
      <c r="A26" t="s">
        <v>66</v>
      </c>
      <c r="B26" t="s">
        <v>67</v>
      </c>
      <c r="C26" t="s">
        <v>96</v>
      </c>
      <c r="D26">
        <v>21407</v>
      </c>
      <c r="E26">
        <v>0.08</v>
      </c>
      <c r="F26">
        <v>1712.56</v>
      </c>
    </row>
    <row r="27" spans="1:6" x14ac:dyDescent="0.25">
      <c r="A27" t="s">
        <v>66</v>
      </c>
      <c r="B27" t="s">
        <v>67</v>
      </c>
      <c r="C27" t="s">
        <v>97</v>
      </c>
      <c r="D27">
        <v>10</v>
      </c>
      <c r="E27">
        <v>0.35</v>
      </c>
      <c r="F27">
        <v>3.5</v>
      </c>
    </row>
    <row r="28" spans="1:6" x14ac:dyDescent="0.25">
      <c r="A28" t="s">
        <v>90</v>
      </c>
      <c r="B28" t="s">
        <v>91</v>
      </c>
      <c r="C28" t="s">
        <v>95</v>
      </c>
      <c r="D28">
        <v>2122</v>
      </c>
      <c r="E28">
        <v>0.35</v>
      </c>
      <c r="F28">
        <v>742.7</v>
      </c>
    </row>
    <row r="29" spans="1:6" x14ac:dyDescent="0.25">
      <c r="A29" t="s">
        <v>90</v>
      </c>
      <c r="B29" t="s">
        <v>91</v>
      </c>
      <c r="C29" t="s">
        <v>96</v>
      </c>
      <c r="D29">
        <v>45219</v>
      </c>
      <c r="E29">
        <v>0.08</v>
      </c>
      <c r="F29">
        <v>3617.52</v>
      </c>
    </row>
    <row r="30" spans="1:6" x14ac:dyDescent="0.25">
      <c r="A30" t="s">
        <v>90</v>
      </c>
      <c r="B30" t="s">
        <v>91</v>
      </c>
      <c r="C30" t="s">
        <v>97</v>
      </c>
      <c r="D30">
        <v>10</v>
      </c>
      <c r="E30">
        <v>0.35</v>
      </c>
      <c r="F30">
        <v>3.5</v>
      </c>
    </row>
    <row r="31" spans="1:6" x14ac:dyDescent="0.25">
      <c r="A31" t="s">
        <v>131</v>
      </c>
      <c r="B31" t="s">
        <v>132</v>
      </c>
      <c r="C31" t="s">
        <v>95</v>
      </c>
      <c r="D31">
        <v>1007</v>
      </c>
      <c r="E31">
        <v>0.35</v>
      </c>
      <c r="F31">
        <v>352.45</v>
      </c>
    </row>
    <row r="32" spans="1:6" x14ac:dyDescent="0.25">
      <c r="A32" t="s">
        <v>131</v>
      </c>
      <c r="B32" t="s">
        <v>132</v>
      </c>
      <c r="C32" t="s">
        <v>96</v>
      </c>
      <c r="D32">
        <v>18897</v>
      </c>
      <c r="E32">
        <v>0.08</v>
      </c>
      <c r="F32">
        <v>1511.76</v>
      </c>
    </row>
    <row r="33" spans="1:6" x14ac:dyDescent="0.25">
      <c r="A33" t="s">
        <v>131</v>
      </c>
      <c r="B33" t="s">
        <v>132</v>
      </c>
      <c r="C33" t="s">
        <v>97</v>
      </c>
      <c r="D33">
        <v>10</v>
      </c>
      <c r="E33">
        <v>0.35</v>
      </c>
      <c r="F33">
        <v>3.5</v>
      </c>
    </row>
    <row r="34" spans="1:6" x14ac:dyDescent="0.25">
      <c r="A34" t="s">
        <v>75</v>
      </c>
      <c r="B34" t="s">
        <v>76</v>
      </c>
      <c r="C34" t="s">
        <v>95</v>
      </c>
      <c r="D34">
        <v>1756</v>
      </c>
      <c r="E34">
        <v>0.35</v>
      </c>
      <c r="F34">
        <v>614.6</v>
      </c>
    </row>
    <row r="35" spans="1:6" x14ac:dyDescent="0.25">
      <c r="A35" t="s">
        <v>75</v>
      </c>
      <c r="B35" t="s">
        <v>76</v>
      </c>
      <c r="C35" t="s">
        <v>96</v>
      </c>
      <c r="D35">
        <v>36390</v>
      </c>
      <c r="E35">
        <v>0.08</v>
      </c>
      <c r="F35">
        <v>2911.2</v>
      </c>
    </row>
    <row r="36" spans="1:6" x14ac:dyDescent="0.25">
      <c r="A36" t="s">
        <v>75</v>
      </c>
      <c r="B36" t="s">
        <v>76</v>
      </c>
      <c r="C36" t="s">
        <v>97</v>
      </c>
      <c r="D36">
        <v>10</v>
      </c>
      <c r="E36">
        <v>0.35</v>
      </c>
      <c r="F36">
        <v>3.5</v>
      </c>
    </row>
    <row r="37" spans="1:6" x14ac:dyDescent="0.25">
      <c r="A37" t="s">
        <v>147</v>
      </c>
      <c r="B37" t="s">
        <v>148</v>
      </c>
      <c r="C37" t="s">
        <v>95</v>
      </c>
      <c r="D37">
        <v>840</v>
      </c>
      <c r="E37">
        <v>0.35</v>
      </c>
      <c r="F37">
        <v>294</v>
      </c>
    </row>
    <row r="38" spans="1:6" x14ac:dyDescent="0.25">
      <c r="A38" t="s">
        <v>147</v>
      </c>
      <c r="B38" t="s">
        <v>148</v>
      </c>
      <c r="C38" t="s">
        <v>96</v>
      </c>
      <c r="D38">
        <v>20382</v>
      </c>
      <c r="E38">
        <v>0.08</v>
      </c>
      <c r="F38">
        <v>1630.56</v>
      </c>
    </row>
    <row r="39" spans="1:6" x14ac:dyDescent="0.25">
      <c r="A39" t="s">
        <v>147</v>
      </c>
      <c r="B39" t="s">
        <v>148</v>
      </c>
      <c r="C39" t="s">
        <v>97</v>
      </c>
      <c r="D39">
        <v>10</v>
      </c>
      <c r="E39">
        <v>0.35</v>
      </c>
      <c r="F39">
        <v>3.5</v>
      </c>
    </row>
    <row r="40" spans="1:6" x14ac:dyDescent="0.25">
      <c r="A40" t="s">
        <v>81</v>
      </c>
      <c r="B40" t="s">
        <v>82</v>
      </c>
      <c r="C40" t="s">
        <v>95</v>
      </c>
      <c r="D40">
        <v>2380</v>
      </c>
      <c r="E40">
        <v>0.35</v>
      </c>
      <c r="F40">
        <v>833</v>
      </c>
    </row>
    <row r="41" spans="1:6" x14ac:dyDescent="0.25">
      <c r="A41" t="s">
        <v>81</v>
      </c>
      <c r="B41" t="s">
        <v>82</v>
      </c>
      <c r="C41" t="s">
        <v>96</v>
      </c>
      <c r="D41">
        <v>34985</v>
      </c>
      <c r="E41">
        <v>0.08</v>
      </c>
      <c r="F41">
        <v>2798.8</v>
      </c>
    </row>
    <row r="42" spans="1:6" x14ac:dyDescent="0.25">
      <c r="A42" t="s">
        <v>81</v>
      </c>
      <c r="B42" t="s">
        <v>82</v>
      </c>
      <c r="C42" t="s">
        <v>97</v>
      </c>
      <c r="D42">
        <v>10</v>
      </c>
      <c r="E42">
        <v>0.35</v>
      </c>
      <c r="F42">
        <v>3.5</v>
      </c>
    </row>
    <row r="43" spans="1:6" x14ac:dyDescent="0.25">
      <c r="A43" t="s">
        <v>163</v>
      </c>
      <c r="B43" t="s">
        <v>164</v>
      </c>
      <c r="C43" t="s">
        <v>95</v>
      </c>
      <c r="D43">
        <v>1294</v>
      </c>
      <c r="E43">
        <v>0.35</v>
      </c>
      <c r="F43">
        <v>452.9</v>
      </c>
    </row>
    <row r="44" spans="1:6" x14ac:dyDescent="0.25">
      <c r="A44" t="s">
        <v>163</v>
      </c>
      <c r="B44" t="s">
        <v>164</v>
      </c>
      <c r="C44" t="s">
        <v>96</v>
      </c>
      <c r="D44">
        <v>18094</v>
      </c>
      <c r="E44">
        <v>0.08</v>
      </c>
      <c r="F44">
        <v>1447.52</v>
      </c>
    </row>
    <row r="45" spans="1:6" x14ac:dyDescent="0.25">
      <c r="A45" t="s">
        <v>163</v>
      </c>
      <c r="B45" t="s">
        <v>164</v>
      </c>
      <c r="C45" t="s">
        <v>97</v>
      </c>
      <c r="D45">
        <v>10</v>
      </c>
      <c r="E45">
        <v>0.35</v>
      </c>
      <c r="F45">
        <v>3.5</v>
      </c>
    </row>
    <row r="46" spans="1:6" x14ac:dyDescent="0.25">
      <c r="A46" t="s">
        <v>143</v>
      </c>
      <c r="B46" t="s">
        <v>144</v>
      </c>
      <c r="C46" t="s">
        <v>95</v>
      </c>
      <c r="D46">
        <v>1408</v>
      </c>
      <c r="E46">
        <v>0.35</v>
      </c>
      <c r="F46">
        <v>492.8</v>
      </c>
    </row>
    <row r="47" spans="1:6" x14ac:dyDescent="0.25">
      <c r="A47" t="s">
        <v>143</v>
      </c>
      <c r="B47" t="s">
        <v>144</v>
      </c>
      <c r="C47" t="s">
        <v>96</v>
      </c>
      <c r="D47">
        <v>24560</v>
      </c>
      <c r="E47">
        <v>0.08</v>
      </c>
      <c r="F47">
        <v>1964.8</v>
      </c>
    </row>
    <row r="48" spans="1:6" x14ac:dyDescent="0.25">
      <c r="A48" t="s">
        <v>143</v>
      </c>
      <c r="B48" t="s">
        <v>144</v>
      </c>
      <c r="C48" t="s">
        <v>97</v>
      </c>
      <c r="D48">
        <v>10</v>
      </c>
      <c r="E48">
        <v>0.35</v>
      </c>
      <c r="F48">
        <v>3.5</v>
      </c>
    </row>
    <row r="49" spans="1:6" x14ac:dyDescent="0.25">
      <c r="A49" t="s">
        <v>106</v>
      </c>
      <c r="B49" t="s">
        <v>108</v>
      </c>
      <c r="C49" t="s">
        <v>95</v>
      </c>
      <c r="D49">
        <v>1633</v>
      </c>
      <c r="E49">
        <v>0.35</v>
      </c>
      <c r="F49">
        <v>571.54999999999995</v>
      </c>
    </row>
    <row r="50" spans="1:6" x14ac:dyDescent="0.25">
      <c r="A50" t="s">
        <v>106</v>
      </c>
      <c r="B50" t="s">
        <v>108</v>
      </c>
      <c r="C50" t="s">
        <v>96</v>
      </c>
      <c r="D50">
        <v>33726</v>
      </c>
      <c r="E50">
        <v>0.08</v>
      </c>
      <c r="F50">
        <v>2698.08</v>
      </c>
    </row>
    <row r="51" spans="1:6" x14ac:dyDescent="0.25">
      <c r="A51" t="s">
        <v>106</v>
      </c>
      <c r="B51" t="s">
        <v>108</v>
      </c>
      <c r="C51" t="s">
        <v>97</v>
      </c>
      <c r="D51">
        <v>10</v>
      </c>
      <c r="E51">
        <v>0.35</v>
      </c>
      <c r="F51">
        <v>3.5</v>
      </c>
    </row>
    <row r="52" spans="1:6" x14ac:dyDescent="0.25">
      <c r="A52" t="s">
        <v>159</v>
      </c>
      <c r="B52" t="s">
        <v>160</v>
      </c>
      <c r="C52" t="s">
        <v>95</v>
      </c>
      <c r="D52">
        <v>666</v>
      </c>
      <c r="E52">
        <v>0.35</v>
      </c>
      <c r="F52">
        <v>233.1</v>
      </c>
    </row>
    <row r="53" spans="1:6" x14ac:dyDescent="0.25">
      <c r="A53" t="s">
        <v>159</v>
      </c>
      <c r="B53" t="s">
        <v>160</v>
      </c>
      <c r="C53" t="s">
        <v>96</v>
      </c>
      <c r="D53">
        <v>17055</v>
      </c>
      <c r="E53">
        <v>0.08</v>
      </c>
      <c r="F53">
        <v>1364.4</v>
      </c>
    </row>
    <row r="54" spans="1:6" x14ac:dyDescent="0.25">
      <c r="A54" t="s">
        <v>159</v>
      </c>
      <c r="B54" t="s">
        <v>160</v>
      </c>
      <c r="C54" t="s">
        <v>97</v>
      </c>
      <c r="D54">
        <v>10</v>
      </c>
      <c r="E54">
        <v>0.35</v>
      </c>
      <c r="F54">
        <v>3.5</v>
      </c>
    </row>
    <row r="55" spans="1:6" x14ac:dyDescent="0.25">
      <c r="A55" t="s">
        <v>123</v>
      </c>
      <c r="B55" t="s">
        <v>178</v>
      </c>
      <c r="C55" t="s">
        <v>72</v>
      </c>
      <c r="D55">
        <v>1</v>
      </c>
      <c r="E55">
        <v>6.51</v>
      </c>
      <c r="F55">
        <v>6.51</v>
      </c>
    </row>
    <row r="56" spans="1:6" x14ac:dyDescent="0.25">
      <c r="A56" t="s">
        <v>123</v>
      </c>
      <c r="B56" t="s">
        <v>124</v>
      </c>
      <c r="C56" t="s">
        <v>95</v>
      </c>
      <c r="D56">
        <v>1364</v>
      </c>
      <c r="E56">
        <v>0.35</v>
      </c>
      <c r="F56">
        <v>477.4</v>
      </c>
    </row>
    <row r="57" spans="1:6" x14ac:dyDescent="0.25">
      <c r="A57" t="s">
        <v>123</v>
      </c>
      <c r="B57" t="s">
        <v>124</v>
      </c>
      <c r="C57" t="s">
        <v>96</v>
      </c>
      <c r="D57">
        <v>21757</v>
      </c>
      <c r="E57">
        <v>0.08</v>
      </c>
      <c r="F57">
        <v>1740.56</v>
      </c>
    </row>
    <row r="58" spans="1:6" x14ac:dyDescent="0.25">
      <c r="A58" t="s">
        <v>123</v>
      </c>
      <c r="B58" t="s">
        <v>124</v>
      </c>
      <c r="C58" t="s">
        <v>97</v>
      </c>
      <c r="D58">
        <v>10</v>
      </c>
      <c r="E58">
        <v>0.35</v>
      </c>
      <c r="F58">
        <v>3.5</v>
      </c>
    </row>
    <row r="59" spans="1:6" x14ac:dyDescent="0.25">
      <c r="A59" t="s">
        <v>155</v>
      </c>
      <c r="B59" t="s">
        <v>156</v>
      </c>
      <c r="C59" t="s">
        <v>95</v>
      </c>
      <c r="D59">
        <v>1152</v>
      </c>
      <c r="E59">
        <v>0.35</v>
      </c>
      <c r="F59">
        <v>403.2</v>
      </c>
    </row>
    <row r="60" spans="1:6" x14ac:dyDescent="0.25">
      <c r="A60" t="s">
        <v>155</v>
      </c>
      <c r="B60" t="s">
        <v>156</v>
      </c>
      <c r="C60" t="s">
        <v>96</v>
      </c>
      <c r="D60">
        <v>19983</v>
      </c>
      <c r="E60">
        <v>0.08</v>
      </c>
      <c r="F60">
        <v>1598.64</v>
      </c>
    </row>
    <row r="61" spans="1:6" x14ac:dyDescent="0.25">
      <c r="A61" t="s">
        <v>155</v>
      </c>
      <c r="B61" t="s">
        <v>156</v>
      </c>
      <c r="C61" t="s">
        <v>97</v>
      </c>
      <c r="D61">
        <v>10</v>
      </c>
      <c r="E61">
        <v>0.35</v>
      </c>
      <c r="F61">
        <v>3.5</v>
      </c>
    </row>
    <row r="62" spans="1:6" x14ac:dyDescent="0.25">
      <c r="A62" t="s">
        <v>135</v>
      </c>
      <c r="B62" t="s">
        <v>136</v>
      </c>
      <c r="C62" t="s">
        <v>95</v>
      </c>
      <c r="D62">
        <v>1424</v>
      </c>
      <c r="E62">
        <v>0.35</v>
      </c>
      <c r="F62">
        <v>498.4</v>
      </c>
    </row>
    <row r="63" spans="1:6" x14ac:dyDescent="0.25">
      <c r="A63" t="s">
        <v>135</v>
      </c>
      <c r="B63" t="s">
        <v>136</v>
      </c>
      <c r="C63" t="s">
        <v>96</v>
      </c>
      <c r="D63">
        <v>33330</v>
      </c>
      <c r="E63">
        <v>0.08</v>
      </c>
      <c r="F63">
        <v>2666.4</v>
      </c>
    </row>
    <row r="64" spans="1:6" x14ac:dyDescent="0.25">
      <c r="A64" t="s">
        <v>135</v>
      </c>
      <c r="B64" t="s">
        <v>136</v>
      </c>
      <c r="C64" t="s">
        <v>97</v>
      </c>
      <c r="D64">
        <v>10</v>
      </c>
      <c r="E64">
        <v>0.35</v>
      </c>
      <c r="F64">
        <v>3.5</v>
      </c>
    </row>
    <row r="65" spans="1:6" x14ac:dyDescent="0.25">
      <c r="A65" t="s">
        <v>151</v>
      </c>
      <c r="B65" t="s">
        <v>179</v>
      </c>
      <c r="C65" t="s">
        <v>72</v>
      </c>
      <c r="D65">
        <v>1</v>
      </c>
      <c r="E65">
        <v>0.76</v>
      </c>
      <c r="F65">
        <v>0.76</v>
      </c>
    </row>
    <row r="66" spans="1:6" x14ac:dyDescent="0.25">
      <c r="A66" t="s">
        <v>151</v>
      </c>
      <c r="B66" t="s">
        <v>152</v>
      </c>
      <c r="C66" t="s">
        <v>95</v>
      </c>
      <c r="D66">
        <v>1553</v>
      </c>
      <c r="E66">
        <v>0.35</v>
      </c>
      <c r="F66">
        <v>543.54999999999995</v>
      </c>
    </row>
    <row r="67" spans="1:6" x14ac:dyDescent="0.25">
      <c r="A67" t="s">
        <v>151</v>
      </c>
      <c r="B67" t="s">
        <v>152</v>
      </c>
      <c r="C67" t="s">
        <v>96</v>
      </c>
      <c r="D67">
        <v>27739</v>
      </c>
      <c r="E67">
        <v>0.08</v>
      </c>
      <c r="F67">
        <v>2219.12</v>
      </c>
    </row>
    <row r="68" spans="1:6" x14ac:dyDescent="0.25">
      <c r="A68" t="s">
        <v>151</v>
      </c>
      <c r="B68" t="s">
        <v>152</v>
      </c>
      <c r="C68" t="s">
        <v>97</v>
      </c>
      <c r="D68">
        <v>10</v>
      </c>
      <c r="E68">
        <v>0.35</v>
      </c>
      <c r="F68">
        <v>3.5</v>
      </c>
    </row>
    <row r="69" spans="1:6" x14ac:dyDescent="0.25">
      <c r="A69" t="s">
        <v>86</v>
      </c>
      <c r="B69" t="s">
        <v>89</v>
      </c>
      <c r="C69" t="s">
        <v>72</v>
      </c>
      <c r="D69">
        <v>1</v>
      </c>
      <c r="E69">
        <v>1.43</v>
      </c>
      <c r="F69">
        <v>1.43</v>
      </c>
    </row>
    <row r="70" spans="1:6" x14ac:dyDescent="0.25">
      <c r="A70" t="s">
        <v>86</v>
      </c>
      <c r="B70" t="s">
        <v>87</v>
      </c>
      <c r="C70" t="s">
        <v>95</v>
      </c>
      <c r="D70">
        <v>3033</v>
      </c>
      <c r="E70">
        <v>0.35</v>
      </c>
      <c r="F70">
        <v>1061.55</v>
      </c>
    </row>
    <row r="71" spans="1:6" x14ac:dyDescent="0.25">
      <c r="A71" t="s">
        <v>86</v>
      </c>
      <c r="B71" t="s">
        <v>87</v>
      </c>
      <c r="C71" t="s">
        <v>96</v>
      </c>
      <c r="D71">
        <v>40773</v>
      </c>
      <c r="E71">
        <v>0.08</v>
      </c>
      <c r="F71">
        <v>3261.84</v>
      </c>
    </row>
    <row r="72" spans="1:6" x14ac:dyDescent="0.25">
      <c r="A72" t="s">
        <v>86</v>
      </c>
      <c r="B72" t="s">
        <v>87</v>
      </c>
      <c r="C72" t="s">
        <v>97</v>
      </c>
      <c r="D72">
        <v>10</v>
      </c>
      <c r="E72">
        <v>0.35</v>
      </c>
      <c r="F72">
        <v>3.5</v>
      </c>
    </row>
    <row r="73" spans="1:6" x14ac:dyDescent="0.25">
      <c r="A73" t="s">
        <v>98</v>
      </c>
      <c r="B73" t="s">
        <v>84</v>
      </c>
      <c r="C73" t="s">
        <v>85</v>
      </c>
      <c r="D73">
        <v>1</v>
      </c>
      <c r="E73">
        <v>99</v>
      </c>
      <c r="F73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ED119-3693-434F-ABB1-4AAB82A5A748}">
  <sheetPr codeName="Sheet6"/>
  <dimension ref="A1:L123"/>
  <sheetViews>
    <sheetView workbookViewId="0">
      <selection sqref="A1:L48"/>
    </sheetView>
  </sheetViews>
  <sheetFormatPr defaultRowHeight="15" x14ac:dyDescent="0.25"/>
  <cols>
    <col min="1" max="2" width="30" bestFit="1" customWidth="1"/>
    <col min="3" max="3" width="18.7109375" bestFit="1" customWidth="1"/>
    <col min="4" max="4" width="15.42578125" bestFit="1" customWidth="1"/>
    <col min="5" max="5" width="60.140625" bestFit="1" customWidth="1"/>
    <col min="6" max="6" width="18" bestFit="1" customWidth="1"/>
    <col min="7" max="7" width="19.140625" bestFit="1" customWidth="1"/>
    <col min="8" max="8" width="6.85546875" bestFit="1" customWidth="1"/>
    <col min="9" max="9" width="8.28515625" bestFit="1" customWidth="1"/>
    <col min="10" max="10" width="9.85546875" bestFit="1" customWidth="1"/>
    <col min="11" max="11" width="13.5703125" bestFit="1" customWidth="1"/>
    <col min="12" max="12" width="14.5703125" customWidth="1"/>
  </cols>
  <sheetData>
    <row r="1" spans="1:12" x14ac:dyDescent="0.25">
      <c r="A1" t="s">
        <v>63</v>
      </c>
      <c r="B1" t="s">
        <v>8</v>
      </c>
      <c r="C1" t="s">
        <v>64</v>
      </c>
      <c r="D1" t="s">
        <v>65</v>
      </c>
      <c r="E1" t="s">
        <v>0</v>
      </c>
      <c r="F1" t="s">
        <v>35</v>
      </c>
      <c r="G1" t="s">
        <v>36</v>
      </c>
      <c r="H1" t="s">
        <v>1</v>
      </c>
      <c r="I1" t="s">
        <v>92</v>
      </c>
      <c r="J1" t="s">
        <v>93</v>
      </c>
      <c r="K1" t="s">
        <v>2</v>
      </c>
      <c r="L1" t="s">
        <v>3</v>
      </c>
    </row>
    <row r="2" spans="1:12" x14ac:dyDescent="0.25">
      <c r="A2" t="s">
        <v>163</v>
      </c>
      <c r="B2" t="s">
        <v>164</v>
      </c>
      <c r="C2" t="s">
        <v>68</v>
      </c>
      <c r="D2" t="s">
        <v>69</v>
      </c>
      <c r="E2" t="s">
        <v>180</v>
      </c>
      <c r="I2">
        <v>70</v>
      </c>
      <c r="J2">
        <v>71</v>
      </c>
    </row>
    <row r="3" spans="1:12" x14ac:dyDescent="0.25">
      <c r="A3" t="s">
        <v>163</v>
      </c>
      <c r="B3" t="s">
        <v>164</v>
      </c>
      <c r="C3" t="s">
        <v>68</v>
      </c>
      <c r="D3" t="s">
        <v>69</v>
      </c>
      <c r="E3" t="s">
        <v>39</v>
      </c>
      <c r="F3" t="s">
        <v>165</v>
      </c>
      <c r="G3" t="s">
        <v>166</v>
      </c>
      <c r="H3">
        <v>1294</v>
      </c>
      <c r="I3">
        <v>71</v>
      </c>
      <c r="J3">
        <v>72</v>
      </c>
      <c r="K3">
        <v>0.35</v>
      </c>
      <c r="L3">
        <v>452.9</v>
      </c>
    </row>
    <row r="4" spans="1:12" x14ac:dyDescent="0.25">
      <c r="A4" t="s">
        <v>163</v>
      </c>
      <c r="B4" t="s">
        <v>164</v>
      </c>
      <c r="C4" t="s">
        <v>68</v>
      </c>
      <c r="D4" t="s">
        <v>69</v>
      </c>
      <c r="E4" t="s">
        <v>39</v>
      </c>
      <c r="F4" t="s">
        <v>165</v>
      </c>
      <c r="G4" t="s">
        <v>166</v>
      </c>
      <c r="H4">
        <v>10</v>
      </c>
      <c r="I4">
        <v>74</v>
      </c>
      <c r="J4">
        <v>75</v>
      </c>
      <c r="K4">
        <v>0.35</v>
      </c>
      <c r="L4">
        <v>3.5</v>
      </c>
    </row>
    <row r="5" spans="1:12" x14ac:dyDescent="0.25">
      <c r="A5" t="s">
        <v>163</v>
      </c>
      <c r="B5" t="s">
        <v>164</v>
      </c>
      <c r="C5" t="s">
        <v>68</v>
      </c>
      <c r="D5" t="s">
        <v>69</v>
      </c>
      <c r="E5" t="s">
        <v>7</v>
      </c>
      <c r="H5">
        <v>18094</v>
      </c>
      <c r="I5">
        <v>73</v>
      </c>
      <c r="J5">
        <v>74</v>
      </c>
      <c r="K5">
        <v>0.08</v>
      </c>
      <c r="L5">
        <v>1447.52</v>
      </c>
    </row>
    <row r="6" spans="1:12" x14ac:dyDescent="0.25">
      <c r="A6" t="s">
        <v>163</v>
      </c>
      <c r="B6" t="s">
        <v>164</v>
      </c>
      <c r="C6" t="s">
        <v>68</v>
      </c>
      <c r="D6" t="s">
        <v>69</v>
      </c>
      <c r="E6" t="s">
        <v>6</v>
      </c>
      <c r="I6">
        <v>72</v>
      </c>
      <c r="J6">
        <v>73</v>
      </c>
    </row>
    <row r="7" spans="1:12" x14ac:dyDescent="0.25">
      <c r="A7" t="s">
        <v>167</v>
      </c>
      <c r="B7" t="s">
        <v>168</v>
      </c>
      <c r="C7" t="s">
        <v>68</v>
      </c>
      <c r="D7" t="s">
        <v>69</v>
      </c>
      <c r="E7" t="s">
        <v>39</v>
      </c>
      <c r="F7" t="s">
        <v>169</v>
      </c>
      <c r="G7" t="s">
        <v>170</v>
      </c>
      <c r="H7">
        <v>10</v>
      </c>
      <c r="I7">
        <v>25</v>
      </c>
      <c r="J7">
        <v>26</v>
      </c>
      <c r="K7">
        <v>0.35</v>
      </c>
      <c r="L7">
        <v>3.5</v>
      </c>
    </row>
    <row r="8" spans="1:12" x14ac:dyDescent="0.25">
      <c r="A8" t="s">
        <v>167</v>
      </c>
      <c r="B8" t="s">
        <v>168</v>
      </c>
      <c r="C8" t="s">
        <v>68</v>
      </c>
      <c r="D8" t="s">
        <v>69</v>
      </c>
      <c r="E8" t="s">
        <v>7</v>
      </c>
      <c r="H8">
        <v>15878</v>
      </c>
      <c r="I8">
        <v>24</v>
      </c>
      <c r="J8">
        <v>25</v>
      </c>
      <c r="K8">
        <v>0.08</v>
      </c>
      <c r="L8">
        <v>1270.24</v>
      </c>
    </row>
    <row r="9" spans="1:12" x14ac:dyDescent="0.25">
      <c r="A9" t="s">
        <v>167</v>
      </c>
      <c r="B9" t="s">
        <v>168</v>
      </c>
      <c r="C9" t="s">
        <v>68</v>
      </c>
      <c r="D9" t="s">
        <v>69</v>
      </c>
      <c r="E9" t="s">
        <v>6</v>
      </c>
      <c r="I9">
        <v>23</v>
      </c>
      <c r="J9">
        <v>24</v>
      </c>
    </row>
    <row r="10" spans="1:12" x14ac:dyDescent="0.25">
      <c r="A10" t="s">
        <v>167</v>
      </c>
      <c r="B10" t="s">
        <v>168</v>
      </c>
      <c r="C10" t="s">
        <v>68</v>
      </c>
      <c r="D10" t="s">
        <v>69</v>
      </c>
      <c r="E10" t="s">
        <v>39</v>
      </c>
      <c r="F10" t="s">
        <v>169</v>
      </c>
      <c r="G10" t="s">
        <v>170</v>
      </c>
      <c r="H10">
        <v>1858</v>
      </c>
      <c r="I10">
        <v>22</v>
      </c>
      <c r="J10">
        <v>23</v>
      </c>
      <c r="K10">
        <v>0.35</v>
      </c>
      <c r="L10">
        <v>650.29999999999995</v>
      </c>
    </row>
    <row r="11" spans="1:12" x14ac:dyDescent="0.25">
      <c r="A11" t="s">
        <v>167</v>
      </c>
      <c r="B11" t="s">
        <v>168</v>
      </c>
      <c r="C11" t="s">
        <v>68</v>
      </c>
      <c r="D11" t="s">
        <v>69</v>
      </c>
      <c r="E11" t="s">
        <v>181</v>
      </c>
      <c r="I11">
        <v>21</v>
      </c>
      <c r="J11">
        <v>22</v>
      </c>
    </row>
    <row r="12" spans="1:12" x14ac:dyDescent="0.25">
      <c r="A12" t="s">
        <v>182</v>
      </c>
      <c r="B12" t="s">
        <v>176</v>
      </c>
      <c r="C12" t="s">
        <v>72</v>
      </c>
      <c r="D12" t="s">
        <v>69</v>
      </c>
      <c r="E12" t="s">
        <v>11</v>
      </c>
      <c r="H12">
        <v>1</v>
      </c>
      <c r="I12">
        <v>20</v>
      </c>
      <c r="J12">
        <v>21</v>
      </c>
      <c r="K12">
        <v>2.7</v>
      </c>
      <c r="L12">
        <v>2.7</v>
      </c>
    </row>
    <row r="13" spans="1:12" x14ac:dyDescent="0.25">
      <c r="A13" t="s">
        <v>182</v>
      </c>
      <c r="B13" t="s">
        <v>176</v>
      </c>
      <c r="C13" t="s">
        <v>72</v>
      </c>
      <c r="D13" t="s">
        <v>69</v>
      </c>
      <c r="E13" t="s">
        <v>10</v>
      </c>
      <c r="I13">
        <v>19</v>
      </c>
      <c r="J13">
        <v>20</v>
      </c>
    </row>
    <row r="14" spans="1:12" x14ac:dyDescent="0.25">
      <c r="A14" t="s">
        <v>171</v>
      </c>
      <c r="B14" t="s">
        <v>172</v>
      </c>
      <c r="C14" t="s">
        <v>68</v>
      </c>
      <c r="D14" t="s">
        <v>69</v>
      </c>
      <c r="E14" t="s">
        <v>7</v>
      </c>
      <c r="H14">
        <v>8033</v>
      </c>
      <c r="I14">
        <v>36</v>
      </c>
      <c r="J14">
        <v>37</v>
      </c>
      <c r="K14">
        <v>0.08</v>
      </c>
      <c r="L14">
        <v>642.64</v>
      </c>
    </row>
    <row r="15" spans="1:12" x14ac:dyDescent="0.25">
      <c r="A15" t="s">
        <v>171</v>
      </c>
      <c r="B15" t="s">
        <v>172</v>
      </c>
      <c r="C15" t="s">
        <v>68</v>
      </c>
      <c r="D15" t="s">
        <v>69</v>
      </c>
      <c r="E15" t="s">
        <v>39</v>
      </c>
      <c r="F15" t="s">
        <v>173</v>
      </c>
      <c r="G15" t="s">
        <v>174</v>
      </c>
      <c r="H15">
        <v>10</v>
      </c>
      <c r="I15">
        <v>37</v>
      </c>
      <c r="J15">
        <v>38</v>
      </c>
      <c r="K15">
        <v>0.35</v>
      </c>
      <c r="L15">
        <v>3.5</v>
      </c>
    </row>
    <row r="16" spans="1:12" x14ac:dyDescent="0.25">
      <c r="A16" t="s">
        <v>171</v>
      </c>
      <c r="B16" t="s">
        <v>172</v>
      </c>
      <c r="C16" t="s">
        <v>68</v>
      </c>
      <c r="D16" t="s">
        <v>69</v>
      </c>
      <c r="E16" t="s">
        <v>183</v>
      </c>
      <c r="I16">
        <v>33</v>
      </c>
      <c r="J16">
        <v>34</v>
      </c>
    </row>
    <row r="17" spans="1:12" x14ac:dyDescent="0.25">
      <c r="A17" t="s">
        <v>171</v>
      </c>
      <c r="B17" t="s">
        <v>172</v>
      </c>
      <c r="C17" t="s">
        <v>68</v>
      </c>
      <c r="D17" t="s">
        <v>69</v>
      </c>
      <c r="E17" t="s">
        <v>39</v>
      </c>
      <c r="F17" t="s">
        <v>173</v>
      </c>
      <c r="G17" t="s">
        <v>174</v>
      </c>
      <c r="H17">
        <v>960</v>
      </c>
      <c r="I17">
        <v>34</v>
      </c>
      <c r="J17">
        <v>35</v>
      </c>
      <c r="K17">
        <v>0.35</v>
      </c>
      <c r="L17">
        <v>336</v>
      </c>
    </row>
    <row r="18" spans="1:12" x14ac:dyDescent="0.25">
      <c r="A18" t="s">
        <v>171</v>
      </c>
      <c r="B18" t="s">
        <v>172</v>
      </c>
      <c r="C18" t="s">
        <v>68</v>
      </c>
      <c r="D18" t="s">
        <v>69</v>
      </c>
      <c r="E18" t="s">
        <v>6</v>
      </c>
      <c r="I18">
        <v>35</v>
      </c>
      <c r="J18">
        <v>36</v>
      </c>
    </row>
    <row r="19" spans="1:12" x14ac:dyDescent="0.25">
      <c r="A19" t="s">
        <v>184</v>
      </c>
      <c r="B19" t="s">
        <v>177</v>
      </c>
      <c r="C19" t="s">
        <v>72</v>
      </c>
      <c r="D19" t="s">
        <v>69</v>
      </c>
      <c r="E19" t="s">
        <v>10</v>
      </c>
      <c r="I19">
        <v>31</v>
      </c>
      <c r="J19">
        <v>32</v>
      </c>
    </row>
    <row r="20" spans="1:12" x14ac:dyDescent="0.25">
      <c r="A20" t="s">
        <v>184</v>
      </c>
      <c r="B20" t="s">
        <v>177</v>
      </c>
      <c r="C20" t="s">
        <v>72</v>
      </c>
      <c r="D20" t="s">
        <v>69</v>
      </c>
      <c r="E20" t="s">
        <v>11</v>
      </c>
      <c r="H20">
        <v>1</v>
      </c>
      <c r="I20">
        <v>32</v>
      </c>
      <c r="J20">
        <v>33</v>
      </c>
      <c r="K20">
        <v>1.78</v>
      </c>
      <c r="L20">
        <v>1.78</v>
      </c>
    </row>
    <row r="21" spans="1:12" x14ac:dyDescent="0.25">
      <c r="A21" t="s">
        <v>159</v>
      </c>
      <c r="B21" t="s">
        <v>160</v>
      </c>
      <c r="C21" t="s">
        <v>68</v>
      </c>
      <c r="D21" t="s">
        <v>69</v>
      </c>
      <c r="E21" t="s">
        <v>39</v>
      </c>
      <c r="F21" t="s">
        <v>161</v>
      </c>
      <c r="G21" t="s">
        <v>162</v>
      </c>
      <c r="H21">
        <v>666</v>
      </c>
      <c r="I21">
        <v>86</v>
      </c>
      <c r="J21">
        <v>87</v>
      </c>
      <c r="K21">
        <v>0.35</v>
      </c>
      <c r="L21">
        <v>233.1</v>
      </c>
    </row>
    <row r="22" spans="1:12" x14ac:dyDescent="0.25">
      <c r="A22" t="s">
        <v>159</v>
      </c>
      <c r="B22" t="s">
        <v>160</v>
      </c>
      <c r="C22" t="s">
        <v>68</v>
      </c>
      <c r="D22" t="s">
        <v>69</v>
      </c>
      <c r="E22" t="s">
        <v>6</v>
      </c>
      <c r="I22">
        <v>87</v>
      </c>
      <c r="J22">
        <v>88</v>
      </c>
    </row>
    <row r="23" spans="1:12" x14ac:dyDescent="0.25">
      <c r="A23" t="s">
        <v>159</v>
      </c>
      <c r="B23" t="s">
        <v>160</v>
      </c>
      <c r="C23" t="s">
        <v>68</v>
      </c>
      <c r="D23" t="s">
        <v>69</v>
      </c>
      <c r="E23" t="s">
        <v>7</v>
      </c>
      <c r="H23">
        <v>17055</v>
      </c>
      <c r="I23">
        <v>88</v>
      </c>
      <c r="J23">
        <v>89</v>
      </c>
      <c r="K23">
        <v>0.08</v>
      </c>
      <c r="L23">
        <v>1364.4</v>
      </c>
    </row>
    <row r="24" spans="1:12" x14ac:dyDescent="0.25">
      <c r="A24" t="s">
        <v>159</v>
      </c>
      <c r="B24" t="s">
        <v>160</v>
      </c>
      <c r="C24" t="s">
        <v>68</v>
      </c>
      <c r="D24" t="s">
        <v>69</v>
      </c>
      <c r="E24" t="s">
        <v>39</v>
      </c>
      <c r="F24" t="s">
        <v>161</v>
      </c>
      <c r="G24" t="s">
        <v>162</v>
      </c>
      <c r="H24">
        <v>10</v>
      </c>
      <c r="I24">
        <v>89</v>
      </c>
      <c r="J24">
        <v>90</v>
      </c>
      <c r="K24">
        <v>0.35</v>
      </c>
      <c r="L24">
        <v>3.5</v>
      </c>
    </row>
    <row r="25" spans="1:12" x14ac:dyDescent="0.25">
      <c r="A25" t="s">
        <v>159</v>
      </c>
      <c r="B25" t="s">
        <v>160</v>
      </c>
      <c r="C25" t="s">
        <v>68</v>
      </c>
      <c r="D25" t="s">
        <v>69</v>
      </c>
      <c r="E25" t="s">
        <v>185</v>
      </c>
      <c r="I25">
        <v>85</v>
      </c>
      <c r="J25">
        <v>86</v>
      </c>
    </row>
    <row r="26" spans="1:12" x14ac:dyDescent="0.25">
      <c r="A26" t="s">
        <v>131</v>
      </c>
      <c r="B26" t="s">
        <v>132</v>
      </c>
      <c r="C26" t="s">
        <v>68</v>
      </c>
      <c r="D26" t="s">
        <v>69</v>
      </c>
      <c r="E26" t="s">
        <v>7</v>
      </c>
      <c r="H26">
        <v>18897</v>
      </c>
      <c r="I26">
        <v>53</v>
      </c>
      <c r="J26">
        <v>54</v>
      </c>
      <c r="K26">
        <v>0.08</v>
      </c>
      <c r="L26">
        <v>1511.76</v>
      </c>
    </row>
    <row r="27" spans="1:12" x14ac:dyDescent="0.25">
      <c r="A27" t="s">
        <v>131</v>
      </c>
      <c r="B27" t="s">
        <v>132</v>
      </c>
      <c r="C27" t="s">
        <v>68</v>
      </c>
      <c r="D27" t="s">
        <v>69</v>
      </c>
      <c r="E27" t="s">
        <v>186</v>
      </c>
      <c r="I27">
        <v>50</v>
      </c>
      <c r="J27">
        <v>51</v>
      </c>
    </row>
    <row r="28" spans="1:12" x14ac:dyDescent="0.25">
      <c r="A28" t="s">
        <v>131</v>
      </c>
      <c r="B28" t="s">
        <v>132</v>
      </c>
      <c r="C28" t="s">
        <v>68</v>
      </c>
      <c r="D28" t="s">
        <v>69</v>
      </c>
      <c r="E28" t="s">
        <v>39</v>
      </c>
      <c r="F28" t="s">
        <v>133</v>
      </c>
      <c r="G28" t="s">
        <v>134</v>
      </c>
      <c r="H28">
        <v>1007</v>
      </c>
      <c r="I28">
        <v>51</v>
      </c>
      <c r="J28">
        <v>52</v>
      </c>
      <c r="K28">
        <v>0.35</v>
      </c>
      <c r="L28">
        <v>352.45</v>
      </c>
    </row>
    <row r="29" spans="1:12" x14ac:dyDescent="0.25">
      <c r="A29" t="s">
        <v>131</v>
      </c>
      <c r="B29" t="s">
        <v>132</v>
      </c>
      <c r="C29" t="s">
        <v>68</v>
      </c>
      <c r="D29" t="s">
        <v>69</v>
      </c>
      <c r="E29" t="s">
        <v>39</v>
      </c>
      <c r="F29" t="s">
        <v>133</v>
      </c>
      <c r="G29" t="s">
        <v>134</v>
      </c>
      <c r="H29">
        <v>10</v>
      </c>
      <c r="I29">
        <v>54</v>
      </c>
      <c r="J29">
        <v>55</v>
      </c>
      <c r="K29">
        <v>0.35</v>
      </c>
      <c r="L29">
        <v>3.5</v>
      </c>
    </row>
    <row r="30" spans="1:12" x14ac:dyDescent="0.25">
      <c r="A30" t="s">
        <v>131</v>
      </c>
      <c r="B30" t="s">
        <v>132</v>
      </c>
      <c r="C30" t="s">
        <v>68</v>
      </c>
      <c r="D30" t="s">
        <v>69</v>
      </c>
      <c r="E30" t="s">
        <v>6</v>
      </c>
      <c r="I30">
        <v>52</v>
      </c>
      <c r="J30">
        <v>53</v>
      </c>
    </row>
    <row r="31" spans="1:12" x14ac:dyDescent="0.25">
      <c r="A31" t="s">
        <v>139</v>
      </c>
      <c r="B31" t="s">
        <v>140</v>
      </c>
      <c r="C31" t="s">
        <v>68</v>
      </c>
      <c r="D31" t="s">
        <v>69</v>
      </c>
      <c r="E31" t="s">
        <v>187</v>
      </c>
      <c r="I31">
        <v>0</v>
      </c>
      <c r="J31">
        <v>1</v>
      </c>
    </row>
    <row r="32" spans="1:12" x14ac:dyDescent="0.25">
      <c r="A32" t="s">
        <v>139</v>
      </c>
      <c r="B32" t="s">
        <v>140</v>
      </c>
      <c r="C32" t="s">
        <v>68</v>
      </c>
      <c r="D32" t="s">
        <v>69</v>
      </c>
      <c r="E32" t="s">
        <v>39</v>
      </c>
      <c r="F32" t="s">
        <v>141</v>
      </c>
      <c r="G32" t="s">
        <v>142</v>
      </c>
      <c r="H32">
        <v>10</v>
      </c>
      <c r="I32">
        <v>4</v>
      </c>
      <c r="J32">
        <v>5</v>
      </c>
      <c r="K32">
        <v>0.35</v>
      </c>
      <c r="L32">
        <v>3.5</v>
      </c>
    </row>
    <row r="33" spans="1:12" x14ac:dyDescent="0.25">
      <c r="A33" t="s">
        <v>139</v>
      </c>
      <c r="B33" t="s">
        <v>140</v>
      </c>
      <c r="C33" t="s">
        <v>68</v>
      </c>
      <c r="D33" t="s">
        <v>69</v>
      </c>
      <c r="E33" t="s">
        <v>7</v>
      </c>
      <c r="H33">
        <v>18640</v>
      </c>
      <c r="I33">
        <v>3</v>
      </c>
      <c r="J33">
        <v>4</v>
      </c>
      <c r="K33">
        <v>0.08</v>
      </c>
      <c r="L33">
        <v>1491.2</v>
      </c>
    </row>
    <row r="34" spans="1:12" x14ac:dyDescent="0.25">
      <c r="A34" t="s">
        <v>139</v>
      </c>
      <c r="B34" t="s">
        <v>140</v>
      </c>
      <c r="C34" t="s">
        <v>68</v>
      </c>
      <c r="D34" t="s">
        <v>69</v>
      </c>
      <c r="E34" t="s">
        <v>6</v>
      </c>
      <c r="I34">
        <v>2</v>
      </c>
      <c r="J34">
        <v>3</v>
      </c>
    </row>
    <row r="35" spans="1:12" x14ac:dyDescent="0.25">
      <c r="A35" t="s">
        <v>139</v>
      </c>
      <c r="B35" t="s">
        <v>140</v>
      </c>
      <c r="C35" t="s">
        <v>68</v>
      </c>
      <c r="D35" t="s">
        <v>69</v>
      </c>
      <c r="E35" t="s">
        <v>39</v>
      </c>
      <c r="F35" t="s">
        <v>141</v>
      </c>
      <c r="G35" t="s">
        <v>142</v>
      </c>
      <c r="H35">
        <v>1023</v>
      </c>
      <c r="I35">
        <v>1</v>
      </c>
      <c r="J35">
        <v>2</v>
      </c>
      <c r="K35">
        <v>0.35</v>
      </c>
      <c r="L35">
        <v>358.05</v>
      </c>
    </row>
    <row r="36" spans="1:12" x14ac:dyDescent="0.25">
      <c r="A36" t="s">
        <v>147</v>
      </c>
      <c r="B36" t="s">
        <v>148</v>
      </c>
      <c r="C36" t="s">
        <v>68</v>
      </c>
      <c r="D36" t="s">
        <v>69</v>
      </c>
      <c r="E36" t="s">
        <v>7</v>
      </c>
      <c r="H36">
        <v>20382</v>
      </c>
      <c r="I36">
        <v>63</v>
      </c>
      <c r="J36">
        <v>64</v>
      </c>
      <c r="K36">
        <v>0.08</v>
      </c>
      <c r="L36">
        <v>1630.56</v>
      </c>
    </row>
    <row r="37" spans="1:12" x14ac:dyDescent="0.25">
      <c r="A37" t="s">
        <v>147</v>
      </c>
      <c r="B37" t="s">
        <v>148</v>
      </c>
      <c r="C37" t="s">
        <v>68</v>
      </c>
      <c r="D37" t="s">
        <v>69</v>
      </c>
      <c r="E37" t="s">
        <v>39</v>
      </c>
      <c r="F37" t="s">
        <v>149</v>
      </c>
      <c r="G37" t="s">
        <v>150</v>
      </c>
      <c r="H37">
        <v>10</v>
      </c>
      <c r="I37">
        <v>64</v>
      </c>
      <c r="J37">
        <v>65</v>
      </c>
      <c r="K37">
        <v>0.35</v>
      </c>
      <c r="L37">
        <v>3.5</v>
      </c>
    </row>
    <row r="38" spans="1:12" x14ac:dyDescent="0.25">
      <c r="A38" t="s">
        <v>147</v>
      </c>
      <c r="B38" t="s">
        <v>148</v>
      </c>
      <c r="C38" t="s">
        <v>68</v>
      </c>
      <c r="D38" t="s">
        <v>69</v>
      </c>
      <c r="E38" t="s">
        <v>6</v>
      </c>
      <c r="I38">
        <v>62</v>
      </c>
      <c r="J38">
        <v>63</v>
      </c>
    </row>
    <row r="39" spans="1:12" x14ac:dyDescent="0.25">
      <c r="A39" t="s">
        <v>147</v>
      </c>
      <c r="B39" t="s">
        <v>148</v>
      </c>
      <c r="C39" t="s">
        <v>68</v>
      </c>
      <c r="D39" t="s">
        <v>69</v>
      </c>
      <c r="E39" t="s">
        <v>39</v>
      </c>
      <c r="F39" t="s">
        <v>149</v>
      </c>
      <c r="G39" t="s">
        <v>150</v>
      </c>
      <c r="H39">
        <v>840</v>
      </c>
      <c r="I39">
        <v>61</v>
      </c>
      <c r="J39">
        <v>62</v>
      </c>
      <c r="K39">
        <v>0.35</v>
      </c>
      <c r="L39">
        <v>294</v>
      </c>
    </row>
    <row r="40" spans="1:12" x14ac:dyDescent="0.25">
      <c r="A40" t="s">
        <v>147</v>
      </c>
      <c r="B40" t="s">
        <v>148</v>
      </c>
      <c r="C40" t="s">
        <v>68</v>
      </c>
      <c r="D40" t="s">
        <v>69</v>
      </c>
      <c r="E40" t="s">
        <v>188</v>
      </c>
      <c r="I40">
        <v>60</v>
      </c>
      <c r="J40">
        <v>61</v>
      </c>
    </row>
    <row r="41" spans="1:12" x14ac:dyDescent="0.25">
      <c r="A41" t="s">
        <v>155</v>
      </c>
      <c r="B41" t="s">
        <v>156</v>
      </c>
      <c r="C41" t="s">
        <v>68</v>
      </c>
      <c r="D41" t="s">
        <v>69</v>
      </c>
      <c r="E41" t="s">
        <v>39</v>
      </c>
      <c r="F41" t="s">
        <v>157</v>
      </c>
      <c r="G41" t="s">
        <v>158</v>
      </c>
      <c r="H41">
        <v>10</v>
      </c>
      <c r="I41">
        <v>101</v>
      </c>
      <c r="J41">
        <v>102</v>
      </c>
      <c r="K41">
        <v>0.35</v>
      </c>
      <c r="L41">
        <v>3.5</v>
      </c>
    </row>
    <row r="42" spans="1:12" x14ac:dyDescent="0.25">
      <c r="A42" t="s">
        <v>155</v>
      </c>
      <c r="B42" t="s">
        <v>156</v>
      </c>
      <c r="C42" t="s">
        <v>68</v>
      </c>
      <c r="D42" t="s">
        <v>69</v>
      </c>
      <c r="E42" t="s">
        <v>189</v>
      </c>
      <c r="I42">
        <v>97</v>
      </c>
      <c r="J42">
        <v>98</v>
      </c>
    </row>
    <row r="43" spans="1:12" x14ac:dyDescent="0.25">
      <c r="A43" t="s">
        <v>155</v>
      </c>
      <c r="B43" t="s">
        <v>156</v>
      </c>
      <c r="C43" t="s">
        <v>68</v>
      </c>
      <c r="D43" t="s">
        <v>69</v>
      </c>
      <c r="E43" t="s">
        <v>39</v>
      </c>
      <c r="F43" t="s">
        <v>157</v>
      </c>
      <c r="G43" t="s">
        <v>158</v>
      </c>
      <c r="H43">
        <v>1152</v>
      </c>
      <c r="I43">
        <v>98</v>
      </c>
      <c r="J43">
        <v>99</v>
      </c>
      <c r="K43">
        <v>0.35</v>
      </c>
      <c r="L43">
        <v>403.2</v>
      </c>
    </row>
    <row r="44" spans="1:12" x14ac:dyDescent="0.25">
      <c r="A44" t="s">
        <v>155</v>
      </c>
      <c r="B44" t="s">
        <v>156</v>
      </c>
      <c r="C44" t="s">
        <v>68</v>
      </c>
      <c r="D44" t="s">
        <v>69</v>
      </c>
      <c r="E44" t="s">
        <v>6</v>
      </c>
      <c r="I44">
        <v>99</v>
      </c>
      <c r="J44">
        <v>100</v>
      </c>
    </row>
    <row r="45" spans="1:12" x14ac:dyDescent="0.25">
      <c r="A45" t="s">
        <v>155</v>
      </c>
      <c r="B45" t="s">
        <v>156</v>
      </c>
      <c r="C45" t="s">
        <v>68</v>
      </c>
      <c r="D45" t="s">
        <v>69</v>
      </c>
      <c r="E45" t="s">
        <v>7</v>
      </c>
      <c r="H45">
        <v>19983</v>
      </c>
      <c r="I45">
        <v>100</v>
      </c>
      <c r="J45">
        <v>101</v>
      </c>
      <c r="K45">
        <v>0.08</v>
      </c>
      <c r="L45">
        <v>1598.64</v>
      </c>
    </row>
    <row r="46" spans="1:12" x14ac:dyDescent="0.25">
      <c r="A46" t="s">
        <v>123</v>
      </c>
      <c r="B46" t="s">
        <v>124</v>
      </c>
      <c r="C46" t="s">
        <v>68</v>
      </c>
      <c r="D46" t="s">
        <v>69</v>
      </c>
      <c r="E46" t="s">
        <v>190</v>
      </c>
      <c r="I46">
        <v>92</v>
      </c>
      <c r="J46">
        <v>93</v>
      </c>
    </row>
    <row r="47" spans="1:12" x14ac:dyDescent="0.25">
      <c r="A47" t="s">
        <v>123</v>
      </c>
      <c r="B47" t="s">
        <v>124</v>
      </c>
      <c r="C47" t="s">
        <v>68</v>
      </c>
      <c r="D47" t="s">
        <v>69</v>
      </c>
      <c r="E47" t="s">
        <v>39</v>
      </c>
      <c r="F47" t="s">
        <v>125</v>
      </c>
      <c r="G47" t="s">
        <v>126</v>
      </c>
      <c r="H47">
        <v>1364</v>
      </c>
      <c r="I47">
        <v>93</v>
      </c>
      <c r="J47">
        <v>94</v>
      </c>
      <c r="K47">
        <v>0.35</v>
      </c>
      <c r="L47">
        <v>477.4</v>
      </c>
    </row>
    <row r="48" spans="1:12" x14ac:dyDescent="0.25">
      <c r="A48" t="s">
        <v>123</v>
      </c>
      <c r="B48" t="s">
        <v>124</v>
      </c>
      <c r="C48" t="s">
        <v>68</v>
      </c>
      <c r="D48" t="s">
        <v>69</v>
      </c>
      <c r="E48" t="s">
        <v>6</v>
      </c>
      <c r="I48">
        <v>94</v>
      </c>
      <c r="J48">
        <v>95</v>
      </c>
    </row>
    <row r="49" spans="1:12" x14ac:dyDescent="0.25">
      <c r="A49" t="s">
        <v>123</v>
      </c>
      <c r="B49" t="s">
        <v>124</v>
      </c>
      <c r="C49" t="s">
        <v>68</v>
      </c>
      <c r="D49" t="s">
        <v>69</v>
      </c>
      <c r="E49" t="s">
        <v>7</v>
      </c>
      <c r="H49">
        <v>21757</v>
      </c>
      <c r="I49">
        <v>95</v>
      </c>
      <c r="J49">
        <v>96</v>
      </c>
      <c r="K49">
        <v>0.08</v>
      </c>
      <c r="L49">
        <v>1740.56</v>
      </c>
    </row>
    <row r="50" spans="1:12" x14ac:dyDescent="0.25">
      <c r="A50" t="s">
        <v>123</v>
      </c>
      <c r="B50" t="s">
        <v>124</v>
      </c>
      <c r="C50" t="s">
        <v>68</v>
      </c>
      <c r="D50" t="s">
        <v>69</v>
      </c>
      <c r="E50" t="s">
        <v>39</v>
      </c>
      <c r="F50" t="s">
        <v>125</v>
      </c>
      <c r="G50" t="s">
        <v>126</v>
      </c>
      <c r="H50">
        <v>10</v>
      </c>
      <c r="I50">
        <v>96</v>
      </c>
      <c r="J50">
        <v>97</v>
      </c>
      <c r="K50">
        <v>0.35</v>
      </c>
      <c r="L50">
        <v>3.5</v>
      </c>
    </row>
    <row r="51" spans="1:12" x14ac:dyDescent="0.25">
      <c r="A51" t="s">
        <v>191</v>
      </c>
      <c r="B51" t="s">
        <v>178</v>
      </c>
      <c r="C51" t="s">
        <v>72</v>
      </c>
      <c r="D51" t="s">
        <v>69</v>
      </c>
      <c r="E51" t="s">
        <v>11</v>
      </c>
      <c r="H51">
        <v>1</v>
      </c>
      <c r="I51">
        <v>91</v>
      </c>
      <c r="J51">
        <v>92</v>
      </c>
      <c r="K51">
        <v>6.51</v>
      </c>
      <c r="L51">
        <v>6.51</v>
      </c>
    </row>
    <row r="52" spans="1:12" x14ac:dyDescent="0.25">
      <c r="A52" t="s">
        <v>191</v>
      </c>
      <c r="B52" t="s">
        <v>178</v>
      </c>
      <c r="C52" t="s">
        <v>72</v>
      </c>
      <c r="D52" t="s">
        <v>69</v>
      </c>
      <c r="E52" t="s">
        <v>10</v>
      </c>
      <c r="I52">
        <v>90</v>
      </c>
      <c r="J52">
        <v>91</v>
      </c>
    </row>
    <row r="53" spans="1:12" x14ac:dyDescent="0.25">
      <c r="A53" t="s">
        <v>127</v>
      </c>
      <c r="B53" t="s">
        <v>128</v>
      </c>
      <c r="C53" t="s">
        <v>68</v>
      </c>
      <c r="D53" t="s">
        <v>69</v>
      </c>
      <c r="E53" t="s">
        <v>192</v>
      </c>
      <c r="I53">
        <v>14</v>
      </c>
      <c r="J53">
        <v>15</v>
      </c>
    </row>
    <row r="54" spans="1:12" x14ac:dyDescent="0.25">
      <c r="A54" t="s">
        <v>127</v>
      </c>
      <c r="B54" t="s">
        <v>128</v>
      </c>
      <c r="C54" t="s">
        <v>68</v>
      </c>
      <c r="D54" t="s">
        <v>69</v>
      </c>
      <c r="E54" t="s">
        <v>39</v>
      </c>
      <c r="F54" t="s">
        <v>129</v>
      </c>
      <c r="G54" t="s">
        <v>130</v>
      </c>
      <c r="H54">
        <v>1648</v>
      </c>
      <c r="I54">
        <v>15</v>
      </c>
      <c r="J54">
        <v>16</v>
      </c>
      <c r="K54">
        <v>0.35</v>
      </c>
      <c r="L54">
        <v>576.79999999999995</v>
      </c>
    </row>
    <row r="55" spans="1:12" x14ac:dyDescent="0.25">
      <c r="A55" t="s">
        <v>127</v>
      </c>
      <c r="B55" t="s">
        <v>128</v>
      </c>
      <c r="C55" t="s">
        <v>68</v>
      </c>
      <c r="D55" t="s">
        <v>69</v>
      </c>
      <c r="E55" t="s">
        <v>6</v>
      </c>
      <c r="I55">
        <v>16</v>
      </c>
      <c r="J55">
        <v>17</v>
      </c>
    </row>
    <row r="56" spans="1:12" x14ac:dyDescent="0.25">
      <c r="A56" t="s">
        <v>127</v>
      </c>
      <c r="B56" t="s">
        <v>128</v>
      </c>
      <c r="C56" t="s">
        <v>68</v>
      </c>
      <c r="D56" t="s">
        <v>69</v>
      </c>
      <c r="E56" t="s">
        <v>7</v>
      </c>
      <c r="H56">
        <v>25778</v>
      </c>
      <c r="I56">
        <v>17</v>
      </c>
      <c r="J56">
        <v>18</v>
      </c>
      <c r="K56">
        <v>0.08</v>
      </c>
      <c r="L56">
        <v>2062.2399999999998</v>
      </c>
    </row>
    <row r="57" spans="1:12" x14ac:dyDescent="0.25">
      <c r="A57" t="s">
        <v>127</v>
      </c>
      <c r="B57" t="s">
        <v>128</v>
      </c>
      <c r="C57" t="s">
        <v>68</v>
      </c>
      <c r="D57" t="s">
        <v>69</v>
      </c>
      <c r="E57" t="s">
        <v>39</v>
      </c>
      <c r="F57" t="s">
        <v>129</v>
      </c>
      <c r="G57" t="s">
        <v>130</v>
      </c>
      <c r="H57">
        <v>10</v>
      </c>
      <c r="I57">
        <v>18</v>
      </c>
      <c r="J57">
        <v>19</v>
      </c>
      <c r="K57">
        <v>0.35</v>
      </c>
      <c r="L57">
        <v>3.5</v>
      </c>
    </row>
    <row r="58" spans="1:12" x14ac:dyDescent="0.25">
      <c r="A58" t="s">
        <v>193</v>
      </c>
      <c r="B58" t="s">
        <v>175</v>
      </c>
      <c r="C58" t="s">
        <v>72</v>
      </c>
      <c r="D58" t="s">
        <v>69</v>
      </c>
      <c r="E58" t="s">
        <v>10</v>
      </c>
      <c r="I58">
        <v>12</v>
      </c>
      <c r="J58">
        <v>13</v>
      </c>
    </row>
    <row r="59" spans="1:12" x14ac:dyDescent="0.25">
      <c r="A59" t="s">
        <v>193</v>
      </c>
      <c r="B59" t="s">
        <v>175</v>
      </c>
      <c r="C59" t="s">
        <v>72</v>
      </c>
      <c r="D59" t="s">
        <v>69</v>
      </c>
      <c r="E59" t="s">
        <v>11</v>
      </c>
      <c r="H59">
        <v>1</v>
      </c>
      <c r="I59">
        <v>13</v>
      </c>
      <c r="J59">
        <v>14</v>
      </c>
      <c r="K59">
        <v>0.18</v>
      </c>
      <c r="L59">
        <v>0.18</v>
      </c>
    </row>
    <row r="60" spans="1:12" x14ac:dyDescent="0.25">
      <c r="A60" t="s">
        <v>151</v>
      </c>
      <c r="B60" t="s">
        <v>152</v>
      </c>
      <c r="C60" t="s">
        <v>68</v>
      </c>
      <c r="D60" t="s">
        <v>69</v>
      </c>
      <c r="E60" t="s">
        <v>6</v>
      </c>
      <c r="I60">
        <v>111</v>
      </c>
      <c r="J60">
        <v>112</v>
      </c>
    </row>
    <row r="61" spans="1:12" x14ac:dyDescent="0.25">
      <c r="A61" t="s">
        <v>151</v>
      </c>
      <c r="B61" t="s">
        <v>152</v>
      </c>
      <c r="C61" t="s">
        <v>68</v>
      </c>
      <c r="D61" t="s">
        <v>69</v>
      </c>
      <c r="E61" t="s">
        <v>39</v>
      </c>
      <c r="F61" t="s">
        <v>153</v>
      </c>
      <c r="G61" t="s">
        <v>154</v>
      </c>
      <c r="H61">
        <v>10</v>
      </c>
      <c r="I61">
        <v>113</v>
      </c>
      <c r="J61">
        <v>114</v>
      </c>
      <c r="K61">
        <v>0.35</v>
      </c>
      <c r="L61">
        <v>3.5</v>
      </c>
    </row>
    <row r="62" spans="1:12" x14ac:dyDescent="0.25">
      <c r="A62" t="s">
        <v>151</v>
      </c>
      <c r="B62" t="s">
        <v>152</v>
      </c>
      <c r="C62" t="s">
        <v>68</v>
      </c>
      <c r="D62" t="s">
        <v>69</v>
      </c>
      <c r="E62" t="s">
        <v>194</v>
      </c>
      <c r="I62">
        <v>109</v>
      </c>
      <c r="J62">
        <v>110</v>
      </c>
    </row>
    <row r="63" spans="1:12" x14ac:dyDescent="0.25">
      <c r="A63" t="s">
        <v>151</v>
      </c>
      <c r="B63" t="s">
        <v>152</v>
      </c>
      <c r="C63" t="s">
        <v>68</v>
      </c>
      <c r="D63" t="s">
        <v>69</v>
      </c>
      <c r="E63" t="s">
        <v>39</v>
      </c>
      <c r="F63" t="s">
        <v>153</v>
      </c>
      <c r="G63" t="s">
        <v>154</v>
      </c>
      <c r="H63">
        <v>1553</v>
      </c>
      <c r="I63">
        <v>110</v>
      </c>
      <c r="J63">
        <v>111</v>
      </c>
      <c r="K63">
        <v>0.35</v>
      </c>
      <c r="L63">
        <v>543.54999999999995</v>
      </c>
    </row>
    <row r="64" spans="1:12" x14ac:dyDescent="0.25">
      <c r="A64" t="s">
        <v>151</v>
      </c>
      <c r="B64" t="s">
        <v>152</v>
      </c>
      <c r="C64" t="s">
        <v>68</v>
      </c>
      <c r="D64" t="s">
        <v>69</v>
      </c>
      <c r="E64" t="s">
        <v>7</v>
      </c>
      <c r="H64">
        <v>27739</v>
      </c>
      <c r="I64">
        <v>112</v>
      </c>
      <c r="J64">
        <v>113</v>
      </c>
      <c r="K64">
        <v>0.08</v>
      </c>
      <c r="L64">
        <v>2219.12</v>
      </c>
    </row>
    <row r="65" spans="1:12" x14ac:dyDescent="0.25">
      <c r="A65" t="s">
        <v>195</v>
      </c>
      <c r="B65" t="s">
        <v>179</v>
      </c>
      <c r="C65" t="s">
        <v>72</v>
      </c>
      <c r="D65" t="s">
        <v>69</v>
      </c>
      <c r="E65" t="s">
        <v>10</v>
      </c>
      <c r="I65">
        <v>107</v>
      </c>
      <c r="J65">
        <v>108</v>
      </c>
    </row>
    <row r="66" spans="1:12" x14ac:dyDescent="0.25">
      <c r="A66" t="s">
        <v>195</v>
      </c>
      <c r="B66" t="s">
        <v>179</v>
      </c>
      <c r="C66" t="s">
        <v>72</v>
      </c>
      <c r="D66" t="s">
        <v>69</v>
      </c>
      <c r="E66" t="s">
        <v>11</v>
      </c>
      <c r="H66">
        <v>1</v>
      </c>
      <c r="I66">
        <v>108</v>
      </c>
      <c r="J66">
        <v>109</v>
      </c>
      <c r="K66">
        <v>0.76</v>
      </c>
      <c r="L66">
        <v>0.76</v>
      </c>
    </row>
    <row r="67" spans="1:12" x14ac:dyDescent="0.25">
      <c r="A67" t="s">
        <v>143</v>
      </c>
      <c r="B67" t="s">
        <v>144</v>
      </c>
      <c r="C67" t="s">
        <v>68</v>
      </c>
      <c r="D67" t="s">
        <v>69</v>
      </c>
      <c r="E67" t="s">
        <v>39</v>
      </c>
      <c r="F67" t="s">
        <v>145</v>
      </c>
      <c r="G67" t="s">
        <v>146</v>
      </c>
      <c r="H67">
        <v>10</v>
      </c>
      <c r="I67">
        <v>79</v>
      </c>
      <c r="J67">
        <v>80</v>
      </c>
      <c r="K67">
        <v>0.35</v>
      </c>
      <c r="L67">
        <v>3.5</v>
      </c>
    </row>
    <row r="68" spans="1:12" x14ac:dyDescent="0.25">
      <c r="A68" t="s">
        <v>143</v>
      </c>
      <c r="B68" t="s">
        <v>144</v>
      </c>
      <c r="C68" t="s">
        <v>68</v>
      </c>
      <c r="D68" t="s">
        <v>69</v>
      </c>
      <c r="E68" t="s">
        <v>7</v>
      </c>
      <c r="H68">
        <v>24560</v>
      </c>
      <c r="I68">
        <v>78</v>
      </c>
      <c r="J68">
        <v>79</v>
      </c>
      <c r="K68">
        <v>0.08</v>
      </c>
      <c r="L68">
        <v>1964.8</v>
      </c>
    </row>
    <row r="69" spans="1:12" x14ac:dyDescent="0.25">
      <c r="A69" t="s">
        <v>143</v>
      </c>
      <c r="B69" t="s">
        <v>144</v>
      </c>
      <c r="C69" t="s">
        <v>68</v>
      </c>
      <c r="D69" t="s">
        <v>69</v>
      </c>
      <c r="E69" t="s">
        <v>39</v>
      </c>
      <c r="F69" t="s">
        <v>145</v>
      </c>
      <c r="G69" t="s">
        <v>146</v>
      </c>
      <c r="H69">
        <v>1408</v>
      </c>
      <c r="I69">
        <v>76</v>
      </c>
      <c r="J69">
        <v>77</v>
      </c>
      <c r="K69">
        <v>0.35</v>
      </c>
      <c r="L69">
        <v>492.8</v>
      </c>
    </row>
    <row r="70" spans="1:12" x14ac:dyDescent="0.25">
      <c r="A70" t="s">
        <v>143</v>
      </c>
      <c r="B70" t="s">
        <v>144</v>
      </c>
      <c r="C70" t="s">
        <v>68</v>
      </c>
      <c r="D70" t="s">
        <v>69</v>
      </c>
      <c r="E70" t="s">
        <v>6</v>
      </c>
      <c r="I70">
        <v>77</v>
      </c>
      <c r="J70">
        <v>78</v>
      </c>
    </row>
    <row r="71" spans="1:12" x14ac:dyDescent="0.25">
      <c r="A71" t="s">
        <v>143</v>
      </c>
      <c r="B71" t="s">
        <v>144</v>
      </c>
      <c r="C71" t="s">
        <v>68</v>
      </c>
      <c r="D71" t="s">
        <v>69</v>
      </c>
      <c r="E71" t="s">
        <v>196</v>
      </c>
      <c r="I71">
        <v>75</v>
      </c>
      <c r="J71">
        <v>76</v>
      </c>
    </row>
    <row r="72" spans="1:12" x14ac:dyDescent="0.25">
      <c r="A72" t="s">
        <v>135</v>
      </c>
      <c r="B72" t="s">
        <v>136</v>
      </c>
      <c r="C72" t="s">
        <v>68</v>
      </c>
      <c r="D72" t="s">
        <v>69</v>
      </c>
      <c r="E72" t="s">
        <v>39</v>
      </c>
      <c r="F72" t="s">
        <v>137</v>
      </c>
      <c r="G72" t="s">
        <v>138</v>
      </c>
      <c r="H72">
        <v>10</v>
      </c>
      <c r="I72">
        <v>106</v>
      </c>
      <c r="J72">
        <v>107</v>
      </c>
      <c r="K72">
        <v>0.35</v>
      </c>
      <c r="L72">
        <v>3.5</v>
      </c>
    </row>
    <row r="73" spans="1:12" x14ac:dyDescent="0.25">
      <c r="A73" t="s">
        <v>135</v>
      </c>
      <c r="B73" t="s">
        <v>136</v>
      </c>
      <c r="C73" t="s">
        <v>68</v>
      </c>
      <c r="D73" t="s">
        <v>69</v>
      </c>
      <c r="E73" t="s">
        <v>7</v>
      </c>
      <c r="H73">
        <v>33330</v>
      </c>
      <c r="I73">
        <v>105</v>
      </c>
      <c r="J73">
        <v>106</v>
      </c>
      <c r="K73">
        <v>0.08</v>
      </c>
      <c r="L73">
        <v>2666.4</v>
      </c>
    </row>
    <row r="74" spans="1:12" x14ac:dyDescent="0.25">
      <c r="A74" t="s">
        <v>135</v>
      </c>
      <c r="B74" t="s">
        <v>136</v>
      </c>
      <c r="C74" t="s">
        <v>68</v>
      </c>
      <c r="D74" t="s">
        <v>69</v>
      </c>
      <c r="E74" t="s">
        <v>6</v>
      </c>
      <c r="I74">
        <v>104</v>
      </c>
      <c r="J74">
        <v>105</v>
      </c>
    </row>
    <row r="75" spans="1:12" x14ac:dyDescent="0.25">
      <c r="A75" t="s">
        <v>135</v>
      </c>
      <c r="B75" t="s">
        <v>136</v>
      </c>
      <c r="C75" t="s">
        <v>68</v>
      </c>
      <c r="D75" t="s">
        <v>69</v>
      </c>
      <c r="E75" t="s">
        <v>39</v>
      </c>
      <c r="F75" t="s">
        <v>137</v>
      </c>
      <c r="G75" t="s">
        <v>138</v>
      </c>
      <c r="H75">
        <v>1424</v>
      </c>
      <c r="I75">
        <v>103</v>
      </c>
      <c r="J75">
        <v>104</v>
      </c>
      <c r="K75">
        <v>0.35</v>
      </c>
      <c r="L75">
        <v>498.4</v>
      </c>
    </row>
    <row r="76" spans="1:12" x14ac:dyDescent="0.25">
      <c r="A76" t="s">
        <v>135</v>
      </c>
      <c r="B76" t="s">
        <v>136</v>
      </c>
      <c r="C76" t="s">
        <v>68</v>
      </c>
      <c r="D76" t="s">
        <v>69</v>
      </c>
      <c r="E76" t="s">
        <v>197</v>
      </c>
      <c r="I76">
        <v>102</v>
      </c>
      <c r="J76">
        <v>103</v>
      </c>
    </row>
    <row r="77" spans="1:12" x14ac:dyDescent="0.25">
      <c r="A77" t="s">
        <v>106</v>
      </c>
      <c r="B77" t="s">
        <v>108</v>
      </c>
      <c r="C77" t="s">
        <v>68</v>
      </c>
      <c r="D77" t="s">
        <v>69</v>
      </c>
      <c r="E77" t="s">
        <v>39</v>
      </c>
      <c r="F77" t="s">
        <v>104</v>
      </c>
      <c r="G77" t="s">
        <v>105</v>
      </c>
      <c r="H77">
        <v>1633</v>
      </c>
      <c r="I77">
        <v>81</v>
      </c>
      <c r="J77">
        <v>82</v>
      </c>
      <c r="K77">
        <v>0.35</v>
      </c>
      <c r="L77">
        <v>571.54999999999995</v>
      </c>
    </row>
    <row r="78" spans="1:12" x14ac:dyDescent="0.25">
      <c r="A78" t="s">
        <v>106</v>
      </c>
      <c r="B78" t="s">
        <v>108</v>
      </c>
      <c r="C78" t="s">
        <v>68</v>
      </c>
      <c r="D78" t="s">
        <v>69</v>
      </c>
      <c r="E78" t="s">
        <v>6</v>
      </c>
      <c r="I78">
        <v>82</v>
      </c>
      <c r="J78">
        <v>83</v>
      </c>
    </row>
    <row r="79" spans="1:12" x14ac:dyDescent="0.25">
      <c r="A79" t="s">
        <v>106</v>
      </c>
      <c r="B79" t="s">
        <v>108</v>
      </c>
      <c r="C79" t="s">
        <v>68</v>
      </c>
      <c r="D79" t="s">
        <v>69</v>
      </c>
      <c r="E79" t="s">
        <v>102</v>
      </c>
      <c r="I79">
        <v>80</v>
      </c>
      <c r="J79">
        <v>81</v>
      </c>
    </row>
    <row r="80" spans="1:12" x14ac:dyDescent="0.25">
      <c r="A80" t="s">
        <v>106</v>
      </c>
      <c r="B80" t="s">
        <v>108</v>
      </c>
      <c r="C80" t="s">
        <v>68</v>
      </c>
      <c r="D80" t="s">
        <v>69</v>
      </c>
      <c r="E80" t="s">
        <v>7</v>
      </c>
      <c r="H80">
        <v>33726</v>
      </c>
      <c r="I80">
        <v>83</v>
      </c>
      <c r="J80">
        <v>84</v>
      </c>
      <c r="K80">
        <v>0.08</v>
      </c>
      <c r="L80">
        <v>2698.08</v>
      </c>
    </row>
    <row r="81" spans="1:12" x14ac:dyDescent="0.25">
      <c r="A81" t="s">
        <v>106</v>
      </c>
      <c r="B81" t="s">
        <v>108</v>
      </c>
      <c r="C81" t="s">
        <v>68</v>
      </c>
      <c r="D81" t="s">
        <v>69</v>
      </c>
      <c r="E81" t="s">
        <v>39</v>
      </c>
      <c r="F81" t="s">
        <v>104</v>
      </c>
      <c r="G81" t="s">
        <v>105</v>
      </c>
      <c r="H81">
        <v>10</v>
      </c>
      <c r="I81">
        <v>84</v>
      </c>
      <c r="J81">
        <v>85</v>
      </c>
      <c r="K81">
        <v>0.35</v>
      </c>
      <c r="L81">
        <v>3.5</v>
      </c>
    </row>
    <row r="82" spans="1:12" x14ac:dyDescent="0.25">
      <c r="A82" t="s">
        <v>66</v>
      </c>
      <c r="B82" t="s">
        <v>67</v>
      </c>
      <c r="C82" t="s">
        <v>68</v>
      </c>
      <c r="D82" t="s">
        <v>69</v>
      </c>
      <c r="E82" t="s">
        <v>39</v>
      </c>
      <c r="F82" t="s">
        <v>47</v>
      </c>
      <c r="G82" t="s">
        <v>48</v>
      </c>
      <c r="H82">
        <v>10</v>
      </c>
      <c r="I82">
        <v>44</v>
      </c>
      <c r="J82">
        <v>45</v>
      </c>
      <c r="K82">
        <v>0.35</v>
      </c>
      <c r="L82">
        <v>3.5</v>
      </c>
    </row>
    <row r="83" spans="1:12" x14ac:dyDescent="0.25">
      <c r="A83" t="s">
        <v>66</v>
      </c>
      <c r="B83" t="s">
        <v>67</v>
      </c>
      <c r="C83" t="s">
        <v>68</v>
      </c>
      <c r="D83" t="s">
        <v>69</v>
      </c>
      <c r="E83" t="s">
        <v>7</v>
      </c>
      <c r="H83">
        <v>21407</v>
      </c>
      <c r="I83">
        <v>43</v>
      </c>
      <c r="J83">
        <v>44</v>
      </c>
      <c r="K83">
        <v>0.08</v>
      </c>
      <c r="L83">
        <v>1712.56</v>
      </c>
    </row>
    <row r="84" spans="1:12" x14ac:dyDescent="0.25">
      <c r="A84" t="s">
        <v>66</v>
      </c>
      <c r="B84" t="s">
        <v>67</v>
      </c>
      <c r="C84" t="s">
        <v>68</v>
      </c>
      <c r="D84" t="s">
        <v>69</v>
      </c>
      <c r="E84" t="s">
        <v>6</v>
      </c>
      <c r="I84">
        <v>42</v>
      </c>
      <c r="J84">
        <v>43</v>
      </c>
    </row>
    <row r="85" spans="1:12" x14ac:dyDescent="0.25">
      <c r="A85" t="s">
        <v>66</v>
      </c>
      <c r="B85" t="s">
        <v>67</v>
      </c>
      <c r="C85" t="s">
        <v>68</v>
      </c>
      <c r="D85" t="s">
        <v>69</v>
      </c>
      <c r="E85" t="s">
        <v>39</v>
      </c>
      <c r="F85" t="s">
        <v>47</v>
      </c>
      <c r="G85" t="s">
        <v>48</v>
      </c>
      <c r="H85">
        <v>2430</v>
      </c>
      <c r="I85">
        <v>41</v>
      </c>
      <c r="J85">
        <v>42</v>
      </c>
      <c r="K85">
        <v>0.35</v>
      </c>
      <c r="L85">
        <v>850.5</v>
      </c>
    </row>
    <row r="86" spans="1:12" x14ac:dyDescent="0.25">
      <c r="A86" t="s">
        <v>66</v>
      </c>
      <c r="B86" t="s">
        <v>67</v>
      </c>
      <c r="C86" t="s">
        <v>68</v>
      </c>
      <c r="D86" t="s">
        <v>69</v>
      </c>
      <c r="E86" t="s">
        <v>4</v>
      </c>
      <c r="I86">
        <v>40</v>
      </c>
      <c r="J86">
        <v>41</v>
      </c>
    </row>
    <row r="87" spans="1:12" x14ac:dyDescent="0.25">
      <c r="A87" t="s">
        <v>70</v>
      </c>
      <c r="B87" t="s">
        <v>71</v>
      </c>
      <c r="C87" t="s">
        <v>72</v>
      </c>
      <c r="D87" t="s">
        <v>69</v>
      </c>
      <c r="E87" t="s">
        <v>11</v>
      </c>
      <c r="H87">
        <v>1</v>
      </c>
      <c r="I87">
        <v>39</v>
      </c>
      <c r="J87">
        <v>40</v>
      </c>
      <c r="K87">
        <v>4.2699999999999996</v>
      </c>
      <c r="L87">
        <v>4.2699999999999996</v>
      </c>
    </row>
    <row r="88" spans="1:12" x14ac:dyDescent="0.25">
      <c r="A88" t="s">
        <v>70</v>
      </c>
      <c r="B88" t="s">
        <v>71</v>
      </c>
      <c r="C88" t="s">
        <v>72</v>
      </c>
      <c r="D88" t="s">
        <v>69</v>
      </c>
      <c r="E88" t="s">
        <v>10</v>
      </c>
      <c r="I88">
        <v>38</v>
      </c>
      <c r="J88">
        <v>39</v>
      </c>
    </row>
    <row r="89" spans="1:12" x14ac:dyDescent="0.25">
      <c r="A89" t="s">
        <v>73</v>
      </c>
      <c r="B89" t="s">
        <v>74</v>
      </c>
      <c r="C89" t="s">
        <v>68</v>
      </c>
      <c r="D89" t="s">
        <v>69</v>
      </c>
      <c r="E89" t="s">
        <v>39</v>
      </c>
      <c r="F89" t="s">
        <v>43</v>
      </c>
      <c r="G89" t="s">
        <v>44</v>
      </c>
      <c r="H89">
        <v>10</v>
      </c>
      <c r="I89">
        <v>30</v>
      </c>
      <c r="J89">
        <v>31</v>
      </c>
      <c r="K89">
        <v>0.35</v>
      </c>
      <c r="L89">
        <v>3.5</v>
      </c>
    </row>
    <row r="90" spans="1:12" x14ac:dyDescent="0.25">
      <c r="A90" t="s">
        <v>73</v>
      </c>
      <c r="B90" t="s">
        <v>74</v>
      </c>
      <c r="C90" t="s">
        <v>68</v>
      </c>
      <c r="D90" t="s">
        <v>69</v>
      </c>
      <c r="E90" t="s">
        <v>7</v>
      </c>
      <c r="H90">
        <v>34106</v>
      </c>
      <c r="I90">
        <v>29</v>
      </c>
      <c r="J90">
        <v>30</v>
      </c>
      <c r="K90">
        <v>0.08</v>
      </c>
      <c r="L90">
        <v>2728.48</v>
      </c>
    </row>
    <row r="91" spans="1:12" x14ac:dyDescent="0.25">
      <c r="A91" t="s">
        <v>73</v>
      </c>
      <c r="B91" t="s">
        <v>74</v>
      </c>
      <c r="C91" t="s">
        <v>68</v>
      </c>
      <c r="D91" t="s">
        <v>69</v>
      </c>
      <c r="E91" t="s">
        <v>6</v>
      </c>
      <c r="I91">
        <v>28</v>
      </c>
      <c r="J91">
        <v>29</v>
      </c>
    </row>
    <row r="92" spans="1:12" x14ac:dyDescent="0.25">
      <c r="A92" t="s">
        <v>73</v>
      </c>
      <c r="B92" t="s">
        <v>74</v>
      </c>
      <c r="C92" t="s">
        <v>68</v>
      </c>
      <c r="D92" t="s">
        <v>69</v>
      </c>
      <c r="E92" t="s">
        <v>39</v>
      </c>
      <c r="F92" t="s">
        <v>43</v>
      </c>
      <c r="G92" t="s">
        <v>44</v>
      </c>
      <c r="H92">
        <v>2696</v>
      </c>
      <c r="I92">
        <v>27</v>
      </c>
      <c r="J92">
        <v>28</v>
      </c>
      <c r="K92">
        <v>0.35</v>
      </c>
      <c r="L92">
        <v>943.6</v>
      </c>
    </row>
    <row r="93" spans="1:12" x14ac:dyDescent="0.25">
      <c r="A93" t="s">
        <v>73</v>
      </c>
      <c r="B93" t="s">
        <v>74</v>
      </c>
      <c r="C93" t="s">
        <v>68</v>
      </c>
      <c r="D93" t="s">
        <v>69</v>
      </c>
      <c r="E93" t="s">
        <v>16</v>
      </c>
      <c r="I93">
        <v>26</v>
      </c>
      <c r="J93">
        <v>27</v>
      </c>
    </row>
    <row r="94" spans="1:12" x14ac:dyDescent="0.25">
      <c r="A94" t="s">
        <v>75</v>
      </c>
      <c r="B94" t="s">
        <v>76</v>
      </c>
      <c r="C94" t="s">
        <v>68</v>
      </c>
      <c r="D94" t="s">
        <v>69</v>
      </c>
      <c r="E94" t="s">
        <v>24</v>
      </c>
      <c r="I94">
        <v>55</v>
      </c>
      <c r="J94">
        <v>56</v>
      </c>
    </row>
    <row r="95" spans="1:12" x14ac:dyDescent="0.25">
      <c r="A95" t="s">
        <v>75</v>
      </c>
      <c r="B95" t="s">
        <v>76</v>
      </c>
      <c r="C95" t="s">
        <v>68</v>
      </c>
      <c r="D95" t="s">
        <v>69</v>
      </c>
      <c r="E95" t="s">
        <v>39</v>
      </c>
      <c r="F95" t="s">
        <v>53</v>
      </c>
      <c r="G95" t="s">
        <v>54</v>
      </c>
      <c r="H95">
        <v>1756</v>
      </c>
      <c r="I95">
        <v>56</v>
      </c>
      <c r="J95">
        <v>57</v>
      </c>
      <c r="K95">
        <v>0.35</v>
      </c>
      <c r="L95">
        <v>614.6</v>
      </c>
    </row>
    <row r="96" spans="1:12" x14ac:dyDescent="0.25">
      <c r="A96" t="s">
        <v>75</v>
      </c>
      <c r="B96" t="s">
        <v>76</v>
      </c>
      <c r="C96" t="s">
        <v>68</v>
      </c>
      <c r="D96" t="s">
        <v>69</v>
      </c>
      <c r="E96" t="s">
        <v>6</v>
      </c>
      <c r="I96">
        <v>57</v>
      </c>
      <c r="J96">
        <v>58</v>
      </c>
    </row>
    <row r="97" spans="1:12" x14ac:dyDescent="0.25">
      <c r="A97" t="s">
        <v>75</v>
      </c>
      <c r="B97" t="s">
        <v>76</v>
      </c>
      <c r="C97" t="s">
        <v>68</v>
      </c>
      <c r="D97" t="s">
        <v>69</v>
      </c>
      <c r="E97" t="s">
        <v>7</v>
      </c>
      <c r="H97">
        <v>36390</v>
      </c>
      <c r="I97">
        <v>58</v>
      </c>
      <c r="J97">
        <v>59</v>
      </c>
      <c r="K97">
        <v>0.08</v>
      </c>
      <c r="L97">
        <v>2911.2</v>
      </c>
    </row>
    <row r="98" spans="1:12" x14ac:dyDescent="0.25">
      <c r="A98" t="s">
        <v>75</v>
      </c>
      <c r="B98" t="s">
        <v>76</v>
      </c>
      <c r="C98" t="s">
        <v>68</v>
      </c>
      <c r="D98" t="s">
        <v>69</v>
      </c>
      <c r="E98" t="s">
        <v>39</v>
      </c>
      <c r="F98" t="s">
        <v>53</v>
      </c>
      <c r="G98" t="s">
        <v>54</v>
      </c>
      <c r="H98">
        <v>10</v>
      </c>
      <c r="I98">
        <v>59</v>
      </c>
      <c r="J98">
        <v>60</v>
      </c>
      <c r="K98">
        <v>0.35</v>
      </c>
      <c r="L98">
        <v>3.5</v>
      </c>
    </row>
    <row r="99" spans="1:12" x14ac:dyDescent="0.25">
      <c r="A99" t="s">
        <v>77</v>
      </c>
      <c r="B99" t="s">
        <v>78</v>
      </c>
      <c r="C99" t="s">
        <v>68</v>
      </c>
      <c r="D99" t="s">
        <v>69</v>
      </c>
      <c r="E99" t="s">
        <v>6</v>
      </c>
      <c r="I99">
        <v>9</v>
      </c>
      <c r="J99">
        <v>10</v>
      </c>
    </row>
    <row r="100" spans="1:12" x14ac:dyDescent="0.25">
      <c r="A100" t="s">
        <v>77</v>
      </c>
      <c r="B100" t="s">
        <v>78</v>
      </c>
      <c r="C100" t="s">
        <v>68</v>
      </c>
      <c r="D100" t="s">
        <v>69</v>
      </c>
      <c r="E100" t="s">
        <v>39</v>
      </c>
      <c r="F100" t="s">
        <v>40</v>
      </c>
      <c r="G100" t="s">
        <v>41</v>
      </c>
      <c r="H100">
        <v>1833</v>
      </c>
      <c r="I100">
        <v>8</v>
      </c>
      <c r="J100">
        <v>9</v>
      </c>
      <c r="K100">
        <v>0.35</v>
      </c>
      <c r="L100">
        <v>641.54999999999995</v>
      </c>
    </row>
    <row r="101" spans="1:12" x14ac:dyDescent="0.25">
      <c r="A101" t="s">
        <v>77</v>
      </c>
      <c r="B101" t="s">
        <v>78</v>
      </c>
      <c r="C101" t="s">
        <v>68</v>
      </c>
      <c r="D101" t="s">
        <v>69</v>
      </c>
      <c r="E101" t="s">
        <v>39</v>
      </c>
      <c r="F101" t="s">
        <v>40</v>
      </c>
      <c r="G101" t="s">
        <v>41</v>
      </c>
      <c r="H101">
        <v>10</v>
      </c>
      <c r="I101">
        <v>11</v>
      </c>
      <c r="J101">
        <v>12</v>
      </c>
      <c r="K101">
        <v>0.35</v>
      </c>
      <c r="L101">
        <v>3.5</v>
      </c>
    </row>
    <row r="102" spans="1:12" x14ac:dyDescent="0.25">
      <c r="A102" t="s">
        <v>77</v>
      </c>
      <c r="B102" t="s">
        <v>78</v>
      </c>
      <c r="C102" t="s">
        <v>68</v>
      </c>
      <c r="D102" t="s">
        <v>69</v>
      </c>
      <c r="E102" t="s">
        <v>7</v>
      </c>
      <c r="H102">
        <v>33341</v>
      </c>
      <c r="I102">
        <v>10</v>
      </c>
      <c r="J102">
        <v>11</v>
      </c>
      <c r="K102">
        <v>0.08</v>
      </c>
      <c r="L102">
        <v>2667.28</v>
      </c>
    </row>
    <row r="103" spans="1:12" x14ac:dyDescent="0.25">
      <c r="A103" t="s">
        <v>77</v>
      </c>
      <c r="B103" t="s">
        <v>78</v>
      </c>
      <c r="C103" t="s">
        <v>68</v>
      </c>
      <c r="D103" t="s">
        <v>69</v>
      </c>
      <c r="E103" t="s">
        <v>13</v>
      </c>
      <c r="I103">
        <v>7</v>
      </c>
      <c r="J103">
        <v>8</v>
      </c>
    </row>
    <row r="104" spans="1:12" x14ac:dyDescent="0.25">
      <c r="A104" t="s">
        <v>79</v>
      </c>
      <c r="B104" t="s">
        <v>80</v>
      </c>
      <c r="C104" t="s">
        <v>72</v>
      </c>
      <c r="D104" t="s">
        <v>69</v>
      </c>
      <c r="E104" t="s">
        <v>10</v>
      </c>
      <c r="I104">
        <v>5</v>
      </c>
      <c r="J104">
        <v>6</v>
      </c>
    </row>
    <row r="105" spans="1:12" x14ac:dyDescent="0.25">
      <c r="A105" t="s">
        <v>79</v>
      </c>
      <c r="B105" t="s">
        <v>80</v>
      </c>
      <c r="C105" t="s">
        <v>72</v>
      </c>
      <c r="D105" t="s">
        <v>69</v>
      </c>
      <c r="E105" t="s">
        <v>11</v>
      </c>
      <c r="H105">
        <v>1</v>
      </c>
      <c r="I105">
        <v>6</v>
      </c>
      <c r="J105">
        <v>7</v>
      </c>
      <c r="K105">
        <v>1.92</v>
      </c>
      <c r="L105">
        <v>1.92</v>
      </c>
    </row>
    <row r="106" spans="1:12" x14ac:dyDescent="0.25">
      <c r="A106" t="s">
        <v>81</v>
      </c>
      <c r="B106" t="s">
        <v>82</v>
      </c>
      <c r="C106" t="s">
        <v>68</v>
      </c>
      <c r="D106" t="s">
        <v>69</v>
      </c>
      <c r="E106" t="s">
        <v>27</v>
      </c>
      <c r="I106">
        <v>65</v>
      </c>
      <c r="J106">
        <v>66</v>
      </c>
    </row>
    <row r="107" spans="1:12" x14ac:dyDescent="0.25">
      <c r="A107" t="s">
        <v>81</v>
      </c>
      <c r="B107" t="s">
        <v>82</v>
      </c>
      <c r="C107" t="s">
        <v>68</v>
      </c>
      <c r="D107" t="s">
        <v>69</v>
      </c>
      <c r="E107" t="s">
        <v>39</v>
      </c>
      <c r="F107" t="s">
        <v>56</v>
      </c>
      <c r="G107" t="s">
        <v>57</v>
      </c>
      <c r="H107">
        <v>2380</v>
      </c>
      <c r="I107">
        <v>66</v>
      </c>
      <c r="J107">
        <v>67</v>
      </c>
      <c r="K107">
        <v>0.35</v>
      </c>
      <c r="L107">
        <v>833</v>
      </c>
    </row>
    <row r="108" spans="1:12" x14ac:dyDescent="0.25">
      <c r="A108" t="s">
        <v>81</v>
      </c>
      <c r="B108" t="s">
        <v>82</v>
      </c>
      <c r="C108" t="s">
        <v>68</v>
      </c>
      <c r="D108" t="s">
        <v>69</v>
      </c>
      <c r="E108" t="s">
        <v>6</v>
      </c>
      <c r="I108">
        <v>67</v>
      </c>
      <c r="J108">
        <v>68</v>
      </c>
    </row>
    <row r="109" spans="1:12" x14ac:dyDescent="0.25">
      <c r="A109" t="s">
        <v>81</v>
      </c>
      <c r="B109" t="s">
        <v>82</v>
      </c>
      <c r="C109" t="s">
        <v>68</v>
      </c>
      <c r="D109" t="s">
        <v>69</v>
      </c>
      <c r="E109" t="s">
        <v>7</v>
      </c>
      <c r="H109">
        <v>34985</v>
      </c>
      <c r="I109">
        <v>68</v>
      </c>
      <c r="J109">
        <v>69</v>
      </c>
      <c r="K109">
        <v>0.08</v>
      </c>
      <c r="L109">
        <v>2798.8</v>
      </c>
    </row>
    <row r="110" spans="1:12" x14ac:dyDescent="0.25">
      <c r="A110" t="s">
        <v>81</v>
      </c>
      <c r="B110" t="s">
        <v>82</v>
      </c>
      <c r="C110" t="s">
        <v>68</v>
      </c>
      <c r="D110" t="s">
        <v>69</v>
      </c>
      <c r="E110" t="s">
        <v>39</v>
      </c>
      <c r="F110" t="s">
        <v>56</v>
      </c>
      <c r="G110" t="s">
        <v>57</v>
      </c>
      <c r="H110">
        <v>10</v>
      </c>
      <c r="I110">
        <v>69</v>
      </c>
      <c r="J110">
        <v>70</v>
      </c>
      <c r="K110">
        <v>0.35</v>
      </c>
      <c r="L110">
        <v>3.5</v>
      </c>
    </row>
    <row r="111" spans="1:12" x14ac:dyDescent="0.25">
      <c r="A111" t="s">
        <v>83</v>
      </c>
      <c r="B111" t="s">
        <v>84</v>
      </c>
      <c r="C111" t="s">
        <v>85</v>
      </c>
      <c r="D111" t="s">
        <v>69</v>
      </c>
      <c r="E111" t="s">
        <v>34</v>
      </c>
      <c r="H111">
        <v>1</v>
      </c>
      <c r="I111">
        <v>121</v>
      </c>
      <c r="J111">
        <v>122</v>
      </c>
      <c r="K111">
        <v>99</v>
      </c>
      <c r="L111">
        <v>99</v>
      </c>
    </row>
    <row r="112" spans="1:12" x14ac:dyDescent="0.25">
      <c r="A112" t="s">
        <v>86</v>
      </c>
      <c r="B112" t="s">
        <v>87</v>
      </c>
      <c r="C112" t="s">
        <v>68</v>
      </c>
      <c r="D112" t="s">
        <v>69</v>
      </c>
      <c r="E112" t="s">
        <v>39</v>
      </c>
      <c r="F112" t="s">
        <v>60</v>
      </c>
      <c r="G112" t="s">
        <v>61</v>
      </c>
      <c r="H112">
        <v>10</v>
      </c>
      <c r="I112">
        <v>120</v>
      </c>
      <c r="J112">
        <v>121</v>
      </c>
      <c r="K112">
        <v>0.35</v>
      </c>
      <c r="L112">
        <v>3.5</v>
      </c>
    </row>
    <row r="113" spans="1:12" x14ac:dyDescent="0.25">
      <c r="A113" t="s">
        <v>86</v>
      </c>
      <c r="B113" t="s">
        <v>87</v>
      </c>
      <c r="C113" t="s">
        <v>68</v>
      </c>
      <c r="D113" t="s">
        <v>69</v>
      </c>
      <c r="E113" t="s">
        <v>31</v>
      </c>
      <c r="I113">
        <v>116</v>
      </c>
      <c r="J113">
        <v>117</v>
      </c>
    </row>
    <row r="114" spans="1:12" x14ac:dyDescent="0.25">
      <c r="A114" t="s">
        <v>86</v>
      </c>
      <c r="B114" t="s">
        <v>87</v>
      </c>
      <c r="C114" t="s">
        <v>68</v>
      </c>
      <c r="D114" t="s">
        <v>69</v>
      </c>
      <c r="E114" t="s">
        <v>39</v>
      </c>
      <c r="F114" t="s">
        <v>60</v>
      </c>
      <c r="G114" t="s">
        <v>61</v>
      </c>
      <c r="H114">
        <v>3033</v>
      </c>
      <c r="I114">
        <v>117</v>
      </c>
      <c r="J114">
        <v>118</v>
      </c>
      <c r="K114">
        <v>0.35</v>
      </c>
      <c r="L114">
        <v>1061.55</v>
      </c>
    </row>
    <row r="115" spans="1:12" x14ac:dyDescent="0.25">
      <c r="A115" t="s">
        <v>86</v>
      </c>
      <c r="B115" t="s">
        <v>87</v>
      </c>
      <c r="C115" t="s">
        <v>68</v>
      </c>
      <c r="D115" t="s">
        <v>69</v>
      </c>
      <c r="E115" t="s">
        <v>6</v>
      </c>
      <c r="I115">
        <v>118</v>
      </c>
      <c r="J115">
        <v>119</v>
      </c>
    </row>
    <row r="116" spans="1:12" x14ac:dyDescent="0.25">
      <c r="A116" t="s">
        <v>86</v>
      </c>
      <c r="B116" t="s">
        <v>87</v>
      </c>
      <c r="C116" t="s">
        <v>68</v>
      </c>
      <c r="D116" t="s">
        <v>69</v>
      </c>
      <c r="E116" t="s">
        <v>7</v>
      </c>
      <c r="H116">
        <v>40773</v>
      </c>
      <c r="I116">
        <v>119</v>
      </c>
      <c r="J116">
        <v>120</v>
      </c>
      <c r="K116">
        <v>0.08</v>
      </c>
      <c r="L116">
        <v>3261.84</v>
      </c>
    </row>
    <row r="117" spans="1:12" x14ac:dyDescent="0.25">
      <c r="A117" t="s">
        <v>88</v>
      </c>
      <c r="B117" t="s">
        <v>89</v>
      </c>
      <c r="C117" t="s">
        <v>72</v>
      </c>
      <c r="D117" t="s">
        <v>69</v>
      </c>
      <c r="E117" t="s">
        <v>10</v>
      </c>
      <c r="I117">
        <v>114</v>
      </c>
      <c r="J117">
        <v>115</v>
      </c>
    </row>
    <row r="118" spans="1:12" x14ac:dyDescent="0.25">
      <c r="A118" t="s">
        <v>88</v>
      </c>
      <c r="B118" t="s">
        <v>89</v>
      </c>
      <c r="C118" t="s">
        <v>72</v>
      </c>
      <c r="D118" t="s">
        <v>69</v>
      </c>
      <c r="E118" t="s">
        <v>11</v>
      </c>
      <c r="H118">
        <v>1</v>
      </c>
      <c r="I118">
        <v>115</v>
      </c>
      <c r="J118">
        <v>116</v>
      </c>
      <c r="K118">
        <v>1.43</v>
      </c>
      <c r="L118">
        <v>1.43</v>
      </c>
    </row>
    <row r="119" spans="1:12" x14ac:dyDescent="0.25">
      <c r="A119" t="s">
        <v>90</v>
      </c>
      <c r="B119" t="s">
        <v>91</v>
      </c>
      <c r="C119" t="s">
        <v>68</v>
      </c>
      <c r="D119" t="s">
        <v>69</v>
      </c>
      <c r="E119" t="s">
        <v>6</v>
      </c>
      <c r="I119">
        <v>47</v>
      </c>
      <c r="J119">
        <v>48</v>
      </c>
    </row>
    <row r="120" spans="1:12" x14ac:dyDescent="0.25">
      <c r="A120" t="s">
        <v>90</v>
      </c>
      <c r="B120" t="s">
        <v>91</v>
      </c>
      <c r="C120" t="s">
        <v>68</v>
      </c>
      <c r="D120" t="s">
        <v>69</v>
      </c>
      <c r="E120" t="s">
        <v>39</v>
      </c>
      <c r="F120" t="s">
        <v>50</v>
      </c>
      <c r="G120" t="s">
        <v>51</v>
      </c>
      <c r="H120">
        <v>2122</v>
      </c>
      <c r="I120">
        <v>46</v>
      </c>
      <c r="J120">
        <v>47</v>
      </c>
      <c r="K120">
        <v>0.35</v>
      </c>
      <c r="L120">
        <v>742.7</v>
      </c>
    </row>
    <row r="121" spans="1:12" x14ac:dyDescent="0.25">
      <c r="A121" t="s">
        <v>90</v>
      </c>
      <c r="B121" t="s">
        <v>91</v>
      </c>
      <c r="C121" t="s">
        <v>68</v>
      </c>
      <c r="D121" t="s">
        <v>69</v>
      </c>
      <c r="E121" t="s">
        <v>21</v>
      </c>
      <c r="I121">
        <v>45</v>
      </c>
      <c r="J121">
        <v>46</v>
      </c>
    </row>
    <row r="122" spans="1:12" x14ac:dyDescent="0.25">
      <c r="A122" t="s">
        <v>90</v>
      </c>
      <c r="B122" t="s">
        <v>91</v>
      </c>
      <c r="C122" t="s">
        <v>68</v>
      </c>
      <c r="D122" t="s">
        <v>69</v>
      </c>
      <c r="E122" t="s">
        <v>39</v>
      </c>
      <c r="F122" t="s">
        <v>50</v>
      </c>
      <c r="G122" t="s">
        <v>51</v>
      </c>
      <c r="H122">
        <v>10</v>
      </c>
      <c r="I122">
        <v>49</v>
      </c>
      <c r="J122">
        <v>50</v>
      </c>
      <c r="K122">
        <v>0.35</v>
      </c>
      <c r="L122">
        <v>3.5</v>
      </c>
    </row>
    <row r="123" spans="1:12" x14ac:dyDescent="0.25">
      <c r="A123" t="s">
        <v>90</v>
      </c>
      <c r="B123" t="s">
        <v>91</v>
      </c>
      <c r="C123" t="s">
        <v>68</v>
      </c>
      <c r="D123" t="s">
        <v>69</v>
      </c>
      <c r="E123" t="s">
        <v>7</v>
      </c>
      <c r="H123">
        <v>45219</v>
      </c>
      <c r="I123">
        <v>48</v>
      </c>
      <c r="J123">
        <v>49</v>
      </c>
      <c r="K123">
        <v>0.08</v>
      </c>
      <c r="L123">
        <v>3617.52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BD5E2-62C0-4815-8898-965CBF1E4904}">
  <sheetPr codeName="Sheet7"/>
  <dimension ref="A1:G43"/>
  <sheetViews>
    <sheetView workbookViewId="0"/>
  </sheetViews>
  <sheetFormatPr defaultRowHeight="15" x14ac:dyDescent="0.25"/>
  <cols>
    <col min="1" max="1" width="33.42578125" bestFit="1" customWidth="1"/>
    <col min="2" max="2" width="60.140625" bestFit="1" customWidth="1"/>
    <col min="3" max="3" width="17.5703125" bestFit="1" customWidth="1"/>
    <col min="4" max="4" width="18.5703125" bestFit="1" customWidth="1"/>
    <col min="5" max="5" width="6.85546875" bestFit="1" customWidth="1"/>
    <col min="6" max="6" width="13.5703125" bestFit="1" customWidth="1"/>
    <col min="7" max="7" width="14.5703125" bestFit="1" customWidth="1"/>
  </cols>
  <sheetData>
    <row r="1" spans="1:7" x14ac:dyDescent="0.25">
      <c r="A1" t="s">
        <v>8</v>
      </c>
      <c r="B1" t="s">
        <v>0</v>
      </c>
      <c r="C1" t="s">
        <v>35</v>
      </c>
      <c r="D1" t="s">
        <v>36</v>
      </c>
      <c r="E1" t="s">
        <v>1</v>
      </c>
      <c r="F1" t="s">
        <v>2</v>
      </c>
      <c r="G1" t="s">
        <v>3</v>
      </c>
    </row>
    <row r="2" spans="1:7" x14ac:dyDescent="0.25">
      <c r="A2" t="s">
        <v>37</v>
      </c>
      <c r="B2" t="s">
        <v>10</v>
      </c>
    </row>
    <row r="3" spans="1:7" x14ac:dyDescent="0.25">
      <c r="A3" t="s">
        <v>37</v>
      </c>
      <c r="B3" t="s">
        <v>11</v>
      </c>
      <c r="E3">
        <v>1</v>
      </c>
      <c r="F3">
        <v>1.92</v>
      </c>
      <c r="G3">
        <v>1.92</v>
      </c>
    </row>
    <row r="4" spans="1:7" x14ac:dyDescent="0.25">
      <c r="A4" t="s">
        <v>38</v>
      </c>
      <c r="B4" t="s">
        <v>13</v>
      </c>
    </row>
    <row r="5" spans="1:7" x14ac:dyDescent="0.25">
      <c r="A5" t="s">
        <v>38</v>
      </c>
      <c r="B5" t="s">
        <v>39</v>
      </c>
      <c r="C5" t="s">
        <v>40</v>
      </c>
      <c r="D5" t="s">
        <v>41</v>
      </c>
      <c r="E5">
        <v>1833</v>
      </c>
      <c r="F5">
        <v>0.35</v>
      </c>
      <c r="G5">
        <v>641.54999999999995</v>
      </c>
    </row>
    <row r="6" spans="1:7" x14ac:dyDescent="0.25">
      <c r="A6" t="s">
        <v>38</v>
      </c>
      <c r="B6" t="s">
        <v>6</v>
      </c>
    </row>
    <row r="7" spans="1:7" x14ac:dyDescent="0.25">
      <c r="A7" t="s">
        <v>38</v>
      </c>
      <c r="B7" t="s">
        <v>7</v>
      </c>
      <c r="E7">
        <v>33341</v>
      </c>
      <c r="F7">
        <v>0.08</v>
      </c>
      <c r="G7">
        <v>2667.28</v>
      </c>
    </row>
    <row r="8" spans="1:7" x14ac:dyDescent="0.25">
      <c r="A8" t="s">
        <v>38</v>
      </c>
      <c r="B8" t="s">
        <v>39</v>
      </c>
      <c r="C8" t="s">
        <v>40</v>
      </c>
      <c r="D8" t="s">
        <v>41</v>
      </c>
      <c r="E8">
        <v>10</v>
      </c>
      <c r="F8">
        <v>0.35</v>
      </c>
      <c r="G8">
        <v>3.5</v>
      </c>
    </row>
    <row r="9" spans="1:7" x14ac:dyDescent="0.25">
      <c r="A9" t="s">
        <v>42</v>
      </c>
      <c r="B9" t="s">
        <v>16</v>
      </c>
    </row>
    <row r="10" spans="1:7" x14ac:dyDescent="0.25">
      <c r="A10" t="s">
        <v>42</v>
      </c>
      <c r="B10" t="s">
        <v>39</v>
      </c>
      <c r="C10" t="s">
        <v>43</v>
      </c>
      <c r="D10" t="s">
        <v>44</v>
      </c>
      <c r="E10">
        <v>2696</v>
      </c>
      <c r="F10">
        <v>0.35</v>
      </c>
      <c r="G10">
        <v>943.6</v>
      </c>
    </row>
    <row r="11" spans="1:7" x14ac:dyDescent="0.25">
      <c r="A11" t="s">
        <v>42</v>
      </c>
      <c r="B11" t="s">
        <v>6</v>
      </c>
    </row>
    <row r="12" spans="1:7" x14ac:dyDescent="0.25">
      <c r="A12" t="s">
        <v>42</v>
      </c>
      <c r="B12" t="s">
        <v>7</v>
      </c>
      <c r="E12">
        <v>34106</v>
      </c>
      <c r="F12">
        <v>0.08</v>
      </c>
      <c r="G12">
        <v>2728.48</v>
      </c>
    </row>
    <row r="13" spans="1:7" x14ac:dyDescent="0.25">
      <c r="A13" t="s">
        <v>42</v>
      </c>
      <c r="B13" t="s">
        <v>39</v>
      </c>
      <c r="C13" t="s">
        <v>43</v>
      </c>
      <c r="D13" t="s">
        <v>44</v>
      </c>
      <c r="E13">
        <v>10</v>
      </c>
      <c r="F13">
        <v>0.35</v>
      </c>
      <c r="G13">
        <v>3.5</v>
      </c>
    </row>
    <row r="14" spans="1:7" x14ac:dyDescent="0.25">
      <c r="A14" t="s">
        <v>45</v>
      </c>
      <c r="B14" t="s">
        <v>10</v>
      </c>
    </row>
    <row r="15" spans="1:7" x14ac:dyDescent="0.25">
      <c r="A15" t="s">
        <v>45</v>
      </c>
      <c r="B15" t="s">
        <v>11</v>
      </c>
      <c r="E15">
        <v>1</v>
      </c>
      <c r="F15">
        <v>4.2699999999999996</v>
      </c>
      <c r="G15">
        <v>4.2699999999999996</v>
      </c>
    </row>
    <row r="16" spans="1:7" x14ac:dyDescent="0.25">
      <c r="A16" t="s">
        <v>46</v>
      </c>
      <c r="B16" t="s">
        <v>4</v>
      </c>
    </row>
    <row r="17" spans="1:7" x14ac:dyDescent="0.25">
      <c r="A17" t="s">
        <v>46</v>
      </c>
      <c r="B17" t="s">
        <v>39</v>
      </c>
      <c r="C17" t="s">
        <v>47</v>
      </c>
      <c r="D17" t="s">
        <v>48</v>
      </c>
      <c r="E17">
        <v>2430</v>
      </c>
      <c r="F17">
        <v>0.35</v>
      </c>
      <c r="G17">
        <v>850.5</v>
      </c>
    </row>
    <row r="18" spans="1:7" x14ac:dyDescent="0.25">
      <c r="A18" t="s">
        <v>46</v>
      </c>
      <c r="B18" t="s">
        <v>6</v>
      </c>
    </row>
    <row r="19" spans="1:7" x14ac:dyDescent="0.25">
      <c r="A19" t="s">
        <v>46</v>
      </c>
      <c r="B19" t="s">
        <v>7</v>
      </c>
      <c r="E19">
        <v>21407</v>
      </c>
      <c r="F19">
        <v>0.08</v>
      </c>
      <c r="G19">
        <v>1712.56</v>
      </c>
    </row>
    <row r="20" spans="1:7" x14ac:dyDescent="0.25">
      <c r="A20" t="s">
        <v>46</v>
      </c>
      <c r="B20" t="s">
        <v>39</v>
      </c>
      <c r="C20" t="s">
        <v>47</v>
      </c>
      <c r="D20" t="s">
        <v>48</v>
      </c>
      <c r="E20">
        <v>10</v>
      </c>
      <c r="F20">
        <v>0.35</v>
      </c>
      <c r="G20">
        <v>3.5</v>
      </c>
    </row>
    <row r="21" spans="1:7" x14ac:dyDescent="0.25">
      <c r="A21" t="s">
        <v>49</v>
      </c>
      <c r="B21" t="s">
        <v>21</v>
      </c>
    </row>
    <row r="22" spans="1:7" x14ac:dyDescent="0.25">
      <c r="A22" t="s">
        <v>49</v>
      </c>
      <c r="B22" t="s">
        <v>39</v>
      </c>
      <c r="C22" t="s">
        <v>50</v>
      </c>
      <c r="D22" t="s">
        <v>51</v>
      </c>
      <c r="E22">
        <v>2122</v>
      </c>
      <c r="F22">
        <v>0.35</v>
      </c>
      <c r="G22">
        <v>742.7</v>
      </c>
    </row>
    <row r="23" spans="1:7" x14ac:dyDescent="0.25">
      <c r="A23" t="s">
        <v>49</v>
      </c>
      <c r="B23" t="s">
        <v>6</v>
      </c>
    </row>
    <row r="24" spans="1:7" x14ac:dyDescent="0.25">
      <c r="A24" t="s">
        <v>49</v>
      </c>
      <c r="B24" t="s">
        <v>7</v>
      </c>
      <c r="E24">
        <v>45219</v>
      </c>
      <c r="F24">
        <v>0.08</v>
      </c>
      <c r="G24">
        <v>3617.52</v>
      </c>
    </row>
    <row r="25" spans="1:7" x14ac:dyDescent="0.25">
      <c r="A25" t="s">
        <v>49</v>
      </c>
      <c r="B25" t="s">
        <v>39</v>
      </c>
      <c r="C25" t="s">
        <v>50</v>
      </c>
      <c r="D25" t="s">
        <v>51</v>
      </c>
      <c r="E25">
        <v>10</v>
      </c>
      <c r="F25">
        <v>0.35</v>
      </c>
      <c r="G25">
        <v>3.5</v>
      </c>
    </row>
    <row r="26" spans="1:7" x14ac:dyDescent="0.25">
      <c r="A26" t="s">
        <v>52</v>
      </c>
      <c r="B26" t="s">
        <v>24</v>
      </c>
    </row>
    <row r="27" spans="1:7" x14ac:dyDescent="0.25">
      <c r="A27" t="s">
        <v>52</v>
      </c>
      <c r="B27" t="s">
        <v>39</v>
      </c>
      <c r="C27" t="s">
        <v>53</v>
      </c>
      <c r="D27" t="s">
        <v>54</v>
      </c>
      <c r="E27">
        <v>1756</v>
      </c>
      <c r="F27">
        <v>0.35</v>
      </c>
      <c r="G27">
        <v>614.6</v>
      </c>
    </row>
    <row r="28" spans="1:7" x14ac:dyDescent="0.25">
      <c r="A28" t="s">
        <v>52</v>
      </c>
      <c r="B28" t="s">
        <v>6</v>
      </c>
    </row>
    <row r="29" spans="1:7" x14ac:dyDescent="0.25">
      <c r="A29" t="s">
        <v>52</v>
      </c>
      <c r="B29" t="s">
        <v>7</v>
      </c>
      <c r="E29">
        <v>36390</v>
      </c>
      <c r="F29">
        <v>0.08</v>
      </c>
      <c r="G29">
        <v>2911.2</v>
      </c>
    </row>
    <row r="30" spans="1:7" x14ac:dyDescent="0.25">
      <c r="A30" t="s">
        <v>52</v>
      </c>
      <c r="B30" t="s">
        <v>39</v>
      </c>
      <c r="C30" t="s">
        <v>53</v>
      </c>
      <c r="D30" t="s">
        <v>54</v>
      </c>
      <c r="E30">
        <v>10</v>
      </c>
      <c r="F30">
        <v>0.35</v>
      </c>
      <c r="G30">
        <v>3.5</v>
      </c>
    </row>
    <row r="31" spans="1:7" x14ac:dyDescent="0.25">
      <c r="A31" t="s">
        <v>55</v>
      </c>
      <c r="B31" t="s">
        <v>27</v>
      </c>
    </row>
    <row r="32" spans="1:7" x14ac:dyDescent="0.25">
      <c r="A32" t="s">
        <v>55</v>
      </c>
      <c r="B32" t="s">
        <v>39</v>
      </c>
      <c r="C32" t="s">
        <v>56</v>
      </c>
      <c r="D32" t="s">
        <v>57</v>
      </c>
      <c r="E32">
        <v>2380</v>
      </c>
      <c r="F32">
        <v>0.35</v>
      </c>
      <c r="G32">
        <v>833</v>
      </c>
    </row>
    <row r="33" spans="1:7" x14ac:dyDescent="0.25">
      <c r="A33" t="s">
        <v>55</v>
      </c>
      <c r="B33" t="s">
        <v>6</v>
      </c>
    </row>
    <row r="34" spans="1:7" x14ac:dyDescent="0.25">
      <c r="A34" t="s">
        <v>55</v>
      </c>
      <c r="B34" t="s">
        <v>7</v>
      </c>
      <c r="E34">
        <v>34985</v>
      </c>
      <c r="F34">
        <v>0.08</v>
      </c>
      <c r="G34">
        <v>2798.8</v>
      </c>
    </row>
    <row r="35" spans="1:7" x14ac:dyDescent="0.25">
      <c r="A35" t="s">
        <v>55</v>
      </c>
      <c r="B35" t="s">
        <v>39</v>
      </c>
      <c r="C35" t="s">
        <v>56</v>
      </c>
      <c r="D35" t="s">
        <v>57</v>
      </c>
      <c r="E35">
        <v>10</v>
      </c>
      <c r="F35">
        <v>0.35</v>
      </c>
      <c r="G35">
        <v>3.5</v>
      </c>
    </row>
    <row r="36" spans="1:7" x14ac:dyDescent="0.25">
      <c r="A36" t="s">
        <v>58</v>
      </c>
      <c r="B36" t="s">
        <v>10</v>
      </c>
    </row>
    <row r="37" spans="1:7" x14ac:dyDescent="0.25">
      <c r="A37" t="s">
        <v>58</v>
      </c>
      <c r="B37" t="s">
        <v>11</v>
      </c>
      <c r="E37">
        <v>1</v>
      </c>
      <c r="F37">
        <v>1.43</v>
      </c>
      <c r="G37">
        <v>1.43</v>
      </c>
    </row>
    <row r="38" spans="1:7" x14ac:dyDescent="0.25">
      <c r="A38" t="s">
        <v>59</v>
      </c>
      <c r="B38" t="s">
        <v>31</v>
      </c>
    </row>
    <row r="39" spans="1:7" x14ac:dyDescent="0.25">
      <c r="A39" t="s">
        <v>59</v>
      </c>
      <c r="B39" t="s">
        <v>39</v>
      </c>
      <c r="C39" t="s">
        <v>60</v>
      </c>
      <c r="D39" t="s">
        <v>61</v>
      </c>
      <c r="E39">
        <v>3033</v>
      </c>
      <c r="F39">
        <v>0.35</v>
      </c>
      <c r="G39">
        <v>1061.55</v>
      </c>
    </row>
    <row r="40" spans="1:7" x14ac:dyDescent="0.25">
      <c r="A40" t="s">
        <v>59</v>
      </c>
      <c r="B40" t="s">
        <v>6</v>
      </c>
    </row>
    <row r="41" spans="1:7" x14ac:dyDescent="0.25">
      <c r="A41" t="s">
        <v>59</v>
      </c>
      <c r="B41" t="s">
        <v>7</v>
      </c>
      <c r="E41">
        <v>40773</v>
      </c>
      <c r="F41">
        <v>0.08</v>
      </c>
      <c r="G41">
        <v>3261.84</v>
      </c>
    </row>
    <row r="42" spans="1:7" x14ac:dyDescent="0.25">
      <c r="A42" t="s">
        <v>59</v>
      </c>
      <c r="B42" t="s">
        <v>39</v>
      </c>
      <c r="C42" t="s">
        <v>60</v>
      </c>
      <c r="D42" t="s">
        <v>61</v>
      </c>
      <c r="E42">
        <v>10</v>
      </c>
      <c r="F42">
        <v>0.35</v>
      </c>
      <c r="G42">
        <v>3.5</v>
      </c>
    </row>
    <row r="43" spans="1:7" x14ac:dyDescent="0.25">
      <c r="A43" t="s">
        <v>62</v>
      </c>
      <c r="B43" t="s">
        <v>34</v>
      </c>
      <c r="E43">
        <v>1</v>
      </c>
      <c r="F43">
        <v>99</v>
      </c>
      <c r="G43">
        <v>99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7FD14-5458-4D68-A0CC-BB15D09E00EE}">
  <sheetPr codeName="SM8InvoiceSheet"/>
  <dimension ref="A1:E123"/>
  <sheetViews>
    <sheetView workbookViewId="0">
      <selection sqref="A1:E123"/>
    </sheetView>
  </sheetViews>
  <sheetFormatPr defaultRowHeight="15" x14ac:dyDescent="0.25"/>
  <cols>
    <col min="1" max="1" width="35.140625" bestFit="1" customWidth="1"/>
    <col min="2" max="2" width="60.140625" bestFit="1" customWidth="1"/>
    <col min="3" max="3" width="6.85546875" bestFit="1" customWidth="1"/>
    <col min="4" max="4" width="13.5703125" bestFit="1" customWidth="1"/>
    <col min="5" max="5" width="14.5703125" bestFit="1" customWidth="1"/>
  </cols>
  <sheetData>
    <row r="1" spans="1:5" x14ac:dyDescent="0.25">
      <c r="A1" t="s">
        <v>8</v>
      </c>
      <c r="B1" t="s">
        <v>0</v>
      </c>
      <c r="C1" t="s">
        <v>1</v>
      </c>
      <c r="D1" t="s">
        <v>2</v>
      </c>
      <c r="E1" t="s">
        <v>3</v>
      </c>
    </row>
    <row r="2" spans="1:5" x14ac:dyDescent="0.25">
      <c r="A2" t="s">
        <v>198</v>
      </c>
      <c r="B2" t="s">
        <v>187</v>
      </c>
    </row>
    <row r="3" spans="1:5" x14ac:dyDescent="0.25">
      <c r="A3" t="s">
        <v>198</v>
      </c>
      <c r="B3" t="s">
        <v>199</v>
      </c>
      <c r="C3">
        <v>1023</v>
      </c>
      <c r="D3">
        <v>0.35</v>
      </c>
      <c r="E3">
        <v>358.05</v>
      </c>
    </row>
    <row r="4" spans="1:5" x14ac:dyDescent="0.25">
      <c r="A4" t="s">
        <v>198</v>
      </c>
      <c r="B4" t="s">
        <v>6</v>
      </c>
    </row>
    <row r="5" spans="1:5" x14ac:dyDescent="0.25">
      <c r="A5" t="s">
        <v>198</v>
      </c>
      <c r="B5" t="s">
        <v>7</v>
      </c>
      <c r="C5">
        <v>18640</v>
      </c>
      <c r="D5">
        <v>0.08</v>
      </c>
      <c r="E5">
        <v>1491.2</v>
      </c>
    </row>
    <row r="6" spans="1:5" x14ac:dyDescent="0.25">
      <c r="A6" t="s">
        <v>198</v>
      </c>
      <c r="B6" t="s">
        <v>199</v>
      </c>
      <c r="C6">
        <v>10</v>
      </c>
      <c r="D6">
        <v>0.35</v>
      </c>
      <c r="E6">
        <v>3.5</v>
      </c>
    </row>
    <row r="7" spans="1:5" x14ac:dyDescent="0.25">
      <c r="A7" t="s">
        <v>9</v>
      </c>
      <c r="B7" t="s">
        <v>10</v>
      </c>
    </row>
    <row r="8" spans="1:5" x14ac:dyDescent="0.25">
      <c r="A8" t="s">
        <v>9</v>
      </c>
      <c r="B8" t="s">
        <v>11</v>
      </c>
      <c r="C8">
        <v>1</v>
      </c>
      <c r="D8">
        <v>1.92</v>
      </c>
      <c r="E8">
        <v>1.92</v>
      </c>
    </row>
    <row r="9" spans="1:5" x14ac:dyDescent="0.25">
      <c r="A9" t="s">
        <v>12</v>
      </c>
      <c r="B9" t="s">
        <v>13</v>
      </c>
    </row>
    <row r="10" spans="1:5" x14ac:dyDescent="0.25">
      <c r="A10" t="s">
        <v>12</v>
      </c>
      <c r="B10" t="s">
        <v>14</v>
      </c>
      <c r="C10">
        <v>1833</v>
      </c>
      <c r="D10">
        <v>0.35</v>
      </c>
      <c r="E10">
        <v>641.54999999999995</v>
      </c>
    </row>
    <row r="11" spans="1:5" x14ac:dyDescent="0.25">
      <c r="A11" t="s">
        <v>12</v>
      </c>
      <c r="B11" t="s">
        <v>6</v>
      </c>
    </row>
    <row r="12" spans="1:5" x14ac:dyDescent="0.25">
      <c r="A12" t="s">
        <v>12</v>
      </c>
      <c r="B12" t="s">
        <v>7</v>
      </c>
      <c r="C12">
        <v>33341</v>
      </c>
      <c r="D12">
        <v>0.08</v>
      </c>
      <c r="E12">
        <v>2667.28</v>
      </c>
    </row>
    <row r="13" spans="1:5" x14ac:dyDescent="0.25">
      <c r="A13" t="s">
        <v>12</v>
      </c>
      <c r="B13" t="s">
        <v>14</v>
      </c>
      <c r="C13">
        <v>10</v>
      </c>
      <c r="D13">
        <v>0.35</v>
      </c>
      <c r="E13">
        <v>3.5</v>
      </c>
    </row>
    <row r="14" spans="1:5" x14ac:dyDescent="0.25">
      <c r="A14" t="s">
        <v>200</v>
      </c>
      <c r="B14" t="s">
        <v>10</v>
      </c>
    </row>
    <row r="15" spans="1:5" x14ac:dyDescent="0.25">
      <c r="A15" t="s">
        <v>200</v>
      </c>
      <c r="B15" t="s">
        <v>11</v>
      </c>
      <c r="C15">
        <v>1</v>
      </c>
      <c r="D15">
        <v>0.18</v>
      </c>
      <c r="E15">
        <v>0.18</v>
      </c>
    </row>
    <row r="16" spans="1:5" x14ac:dyDescent="0.25">
      <c r="A16" t="s">
        <v>201</v>
      </c>
      <c r="B16" t="s">
        <v>192</v>
      </c>
    </row>
    <row r="17" spans="1:5" x14ac:dyDescent="0.25">
      <c r="A17" t="s">
        <v>201</v>
      </c>
      <c r="B17" t="s">
        <v>202</v>
      </c>
      <c r="C17">
        <v>1648</v>
      </c>
      <c r="D17">
        <v>0.35</v>
      </c>
      <c r="E17">
        <v>576.79999999999995</v>
      </c>
    </row>
    <row r="18" spans="1:5" x14ac:dyDescent="0.25">
      <c r="A18" t="s">
        <v>201</v>
      </c>
      <c r="B18" t="s">
        <v>6</v>
      </c>
    </row>
    <row r="19" spans="1:5" x14ac:dyDescent="0.25">
      <c r="A19" t="s">
        <v>201</v>
      </c>
      <c r="B19" t="s">
        <v>7</v>
      </c>
      <c r="C19">
        <v>25778</v>
      </c>
      <c r="D19">
        <v>0.08</v>
      </c>
      <c r="E19">
        <v>2062.2399999999998</v>
      </c>
    </row>
    <row r="20" spans="1:5" x14ac:dyDescent="0.25">
      <c r="A20" t="s">
        <v>201</v>
      </c>
      <c r="B20" t="s">
        <v>202</v>
      </c>
      <c r="C20">
        <v>10</v>
      </c>
      <c r="D20">
        <v>0.35</v>
      </c>
      <c r="E20">
        <v>3.5</v>
      </c>
    </row>
    <row r="21" spans="1:5" x14ac:dyDescent="0.25">
      <c r="A21" t="s">
        <v>203</v>
      </c>
      <c r="B21" t="s">
        <v>10</v>
      </c>
    </row>
    <row r="22" spans="1:5" x14ac:dyDescent="0.25">
      <c r="A22" t="s">
        <v>203</v>
      </c>
      <c r="B22" t="s">
        <v>11</v>
      </c>
      <c r="C22">
        <v>1</v>
      </c>
      <c r="D22">
        <v>2.7</v>
      </c>
      <c r="E22">
        <v>2.7</v>
      </c>
    </row>
    <row r="23" spans="1:5" x14ac:dyDescent="0.25">
      <c r="A23" t="s">
        <v>204</v>
      </c>
      <c r="B23" t="s">
        <v>181</v>
      </c>
    </row>
    <row r="24" spans="1:5" x14ac:dyDescent="0.25">
      <c r="A24" t="s">
        <v>204</v>
      </c>
      <c r="B24" t="s">
        <v>205</v>
      </c>
      <c r="C24">
        <v>1858</v>
      </c>
      <c r="D24">
        <v>0.35</v>
      </c>
      <c r="E24">
        <v>650.29999999999995</v>
      </c>
    </row>
    <row r="25" spans="1:5" x14ac:dyDescent="0.25">
      <c r="A25" t="s">
        <v>204</v>
      </c>
      <c r="B25" t="s">
        <v>6</v>
      </c>
    </row>
    <row r="26" spans="1:5" x14ac:dyDescent="0.25">
      <c r="A26" t="s">
        <v>204</v>
      </c>
      <c r="B26" t="s">
        <v>7</v>
      </c>
      <c r="C26">
        <v>15878</v>
      </c>
      <c r="D26">
        <v>0.08</v>
      </c>
      <c r="E26">
        <v>1270.24</v>
      </c>
    </row>
    <row r="27" spans="1:5" x14ac:dyDescent="0.25">
      <c r="A27" t="s">
        <v>204</v>
      </c>
      <c r="B27" t="s">
        <v>205</v>
      </c>
      <c r="C27">
        <v>10</v>
      </c>
      <c r="D27">
        <v>0.35</v>
      </c>
      <c r="E27">
        <v>3.5</v>
      </c>
    </row>
    <row r="28" spans="1:5" x14ac:dyDescent="0.25">
      <c r="A28" t="s">
        <v>15</v>
      </c>
      <c r="B28" t="s">
        <v>16</v>
      </c>
    </row>
    <row r="29" spans="1:5" x14ac:dyDescent="0.25">
      <c r="A29" t="s">
        <v>15</v>
      </c>
      <c r="B29" t="s">
        <v>17</v>
      </c>
      <c r="C29">
        <v>2696</v>
      </c>
      <c r="D29">
        <v>0.35</v>
      </c>
      <c r="E29">
        <v>943.6</v>
      </c>
    </row>
    <row r="30" spans="1:5" x14ac:dyDescent="0.25">
      <c r="A30" t="s">
        <v>15</v>
      </c>
      <c r="B30" t="s">
        <v>6</v>
      </c>
    </row>
    <row r="31" spans="1:5" x14ac:dyDescent="0.25">
      <c r="A31" t="s">
        <v>15</v>
      </c>
      <c r="B31" t="s">
        <v>7</v>
      </c>
      <c r="C31">
        <v>34106</v>
      </c>
      <c r="D31">
        <v>0.08</v>
      </c>
      <c r="E31">
        <v>2728.48</v>
      </c>
    </row>
    <row r="32" spans="1:5" x14ac:dyDescent="0.25">
      <c r="A32" t="s">
        <v>15</v>
      </c>
      <c r="B32" t="s">
        <v>17</v>
      </c>
      <c r="C32">
        <v>10</v>
      </c>
      <c r="D32">
        <v>0.35</v>
      </c>
      <c r="E32">
        <v>3.5</v>
      </c>
    </row>
    <row r="33" spans="1:5" x14ac:dyDescent="0.25">
      <c r="A33" t="s">
        <v>206</v>
      </c>
      <c r="B33" t="s">
        <v>10</v>
      </c>
    </row>
    <row r="34" spans="1:5" x14ac:dyDescent="0.25">
      <c r="A34" t="s">
        <v>206</v>
      </c>
      <c r="B34" t="s">
        <v>11</v>
      </c>
      <c r="C34">
        <v>1</v>
      </c>
      <c r="D34">
        <v>1.78</v>
      </c>
      <c r="E34">
        <v>1.78</v>
      </c>
    </row>
    <row r="35" spans="1:5" x14ac:dyDescent="0.25">
      <c r="A35" t="s">
        <v>207</v>
      </c>
      <c r="B35" t="s">
        <v>183</v>
      </c>
    </row>
    <row r="36" spans="1:5" x14ac:dyDescent="0.25">
      <c r="A36" t="s">
        <v>207</v>
      </c>
      <c r="B36" t="s">
        <v>208</v>
      </c>
      <c r="C36">
        <v>960</v>
      </c>
      <c r="D36">
        <v>0.35</v>
      </c>
      <c r="E36">
        <v>336</v>
      </c>
    </row>
    <row r="37" spans="1:5" x14ac:dyDescent="0.25">
      <c r="A37" t="s">
        <v>207</v>
      </c>
      <c r="B37" t="s">
        <v>6</v>
      </c>
    </row>
    <row r="38" spans="1:5" x14ac:dyDescent="0.25">
      <c r="A38" t="s">
        <v>207</v>
      </c>
      <c r="B38" t="s">
        <v>7</v>
      </c>
      <c r="C38">
        <v>8033</v>
      </c>
      <c r="D38">
        <v>0.08</v>
      </c>
      <c r="E38">
        <v>642.64</v>
      </c>
    </row>
    <row r="39" spans="1:5" x14ac:dyDescent="0.25">
      <c r="A39" t="s">
        <v>207</v>
      </c>
      <c r="B39" t="s">
        <v>208</v>
      </c>
      <c r="C39">
        <v>10</v>
      </c>
      <c r="D39">
        <v>0.35</v>
      </c>
      <c r="E39">
        <v>3.5</v>
      </c>
    </row>
    <row r="40" spans="1:5" x14ac:dyDescent="0.25">
      <c r="A40" t="s">
        <v>18</v>
      </c>
      <c r="B40" t="s">
        <v>10</v>
      </c>
    </row>
    <row r="41" spans="1:5" x14ac:dyDescent="0.25">
      <c r="A41" t="s">
        <v>18</v>
      </c>
      <c r="B41" t="s">
        <v>11</v>
      </c>
      <c r="C41">
        <v>1</v>
      </c>
      <c r="D41">
        <v>4.2699999999999996</v>
      </c>
      <c r="E41">
        <v>4.2699999999999996</v>
      </c>
    </row>
    <row r="42" spans="1:5" x14ac:dyDescent="0.25">
      <c r="A42" t="s">
        <v>19</v>
      </c>
      <c r="B42" t="s">
        <v>4</v>
      </c>
    </row>
    <row r="43" spans="1:5" x14ac:dyDescent="0.25">
      <c r="A43" t="s">
        <v>19</v>
      </c>
      <c r="B43" t="s">
        <v>5</v>
      </c>
      <c r="C43">
        <v>2430</v>
      </c>
      <c r="D43">
        <v>0.35</v>
      </c>
      <c r="E43">
        <v>850.5</v>
      </c>
    </row>
    <row r="44" spans="1:5" x14ac:dyDescent="0.25">
      <c r="A44" t="s">
        <v>19</v>
      </c>
      <c r="B44" t="s">
        <v>6</v>
      </c>
    </row>
    <row r="45" spans="1:5" x14ac:dyDescent="0.25">
      <c r="A45" t="s">
        <v>19</v>
      </c>
      <c r="B45" t="s">
        <v>7</v>
      </c>
      <c r="C45">
        <v>21407</v>
      </c>
      <c r="D45">
        <v>0.08</v>
      </c>
      <c r="E45">
        <v>1712.56</v>
      </c>
    </row>
    <row r="46" spans="1:5" x14ac:dyDescent="0.25">
      <c r="A46" t="s">
        <v>19</v>
      </c>
      <c r="B46" t="s">
        <v>5</v>
      </c>
      <c r="C46">
        <v>10</v>
      </c>
      <c r="D46">
        <v>0.35</v>
      </c>
      <c r="E46">
        <v>3.5</v>
      </c>
    </row>
    <row r="47" spans="1:5" x14ac:dyDescent="0.25">
      <c r="A47" t="s">
        <v>20</v>
      </c>
      <c r="B47" t="s">
        <v>21</v>
      </c>
    </row>
    <row r="48" spans="1:5" x14ac:dyDescent="0.25">
      <c r="A48" t="s">
        <v>20</v>
      </c>
      <c r="B48" t="s">
        <v>22</v>
      </c>
      <c r="C48">
        <v>2122</v>
      </c>
      <c r="D48">
        <v>0.35</v>
      </c>
      <c r="E48">
        <v>742.7</v>
      </c>
    </row>
    <row r="49" spans="1:5" x14ac:dyDescent="0.25">
      <c r="A49" t="s">
        <v>20</v>
      </c>
      <c r="B49" t="s">
        <v>6</v>
      </c>
    </row>
    <row r="50" spans="1:5" x14ac:dyDescent="0.25">
      <c r="A50" t="s">
        <v>20</v>
      </c>
      <c r="B50" t="s">
        <v>7</v>
      </c>
      <c r="C50">
        <v>45219</v>
      </c>
      <c r="D50">
        <v>0.08</v>
      </c>
      <c r="E50">
        <v>3617.52</v>
      </c>
    </row>
    <row r="51" spans="1:5" x14ac:dyDescent="0.25">
      <c r="A51" t="s">
        <v>20</v>
      </c>
      <c r="B51" t="s">
        <v>22</v>
      </c>
      <c r="C51">
        <v>10</v>
      </c>
      <c r="D51">
        <v>0.35</v>
      </c>
      <c r="E51">
        <v>3.5</v>
      </c>
    </row>
    <row r="52" spans="1:5" x14ac:dyDescent="0.25">
      <c r="A52" t="s">
        <v>209</v>
      </c>
      <c r="B52" t="s">
        <v>186</v>
      </c>
    </row>
    <row r="53" spans="1:5" x14ac:dyDescent="0.25">
      <c r="A53" t="s">
        <v>209</v>
      </c>
      <c r="B53" t="s">
        <v>210</v>
      </c>
      <c r="C53">
        <v>1007</v>
      </c>
      <c r="D53">
        <v>0.35</v>
      </c>
      <c r="E53">
        <v>352.45</v>
      </c>
    </row>
    <row r="54" spans="1:5" x14ac:dyDescent="0.25">
      <c r="A54" t="s">
        <v>209</v>
      </c>
      <c r="B54" t="s">
        <v>6</v>
      </c>
    </row>
    <row r="55" spans="1:5" x14ac:dyDescent="0.25">
      <c r="A55" t="s">
        <v>209</v>
      </c>
      <c r="B55" t="s">
        <v>7</v>
      </c>
      <c r="C55">
        <v>18897</v>
      </c>
      <c r="D55">
        <v>0.08</v>
      </c>
      <c r="E55">
        <v>1511.76</v>
      </c>
    </row>
    <row r="56" spans="1:5" x14ac:dyDescent="0.25">
      <c r="A56" t="s">
        <v>209</v>
      </c>
      <c r="B56" t="s">
        <v>210</v>
      </c>
      <c r="C56">
        <v>10</v>
      </c>
      <c r="D56">
        <v>0.35</v>
      </c>
      <c r="E56">
        <v>3.5</v>
      </c>
    </row>
    <row r="57" spans="1:5" x14ac:dyDescent="0.25">
      <c r="A57" t="s">
        <v>23</v>
      </c>
      <c r="B57" t="s">
        <v>24</v>
      </c>
    </row>
    <row r="58" spans="1:5" x14ac:dyDescent="0.25">
      <c r="A58" t="s">
        <v>23</v>
      </c>
      <c r="B58" t="s">
        <v>25</v>
      </c>
      <c r="C58">
        <v>1756</v>
      </c>
      <c r="D58">
        <v>0.35</v>
      </c>
      <c r="E58">
        <v>614.6</v>
      </c>
    </row>
    <row r="59" spans="1:5" x14ac:dyDescent="0.25">
      <c r="A59" t="s">
        <v>23</v>
      </c>
      <c r="B59" t="s">
        <v>6</v>
      </c>
    </row>
    <row r="60" spans="1:5" x14ac:dyDescent="0.25">
      <c r="A60" t="s">
        <v>23</v>
      </c>
      <c r="B60" t="s">
        <v>7</v>
      </c>
      <c r="C60">
        <v>36390</v>
      </c>
      <c r="D60">
        <v>0.08</v>
      </c>
      <c r="E60">
        <v>2911.2</v>
      </c>
    </row>
    <row r="61" spans="1:5" x14ac:dyDescent="0.25">
      <c r="A61" t="s">
        <v>23</v>
      </c>
      <c r="B61" t="s">
        <v>25</v>
      </c>
      <c r="C61">
        <v>10</v>
      </c>
      <c r="D61">
        <v>0.35</v>
      </c>
      <c r="E61">
        <v>3.5</v>
      </c>
    </row>
    <row r="62" spans="1:5" x14ac:dyDescent="0.25">
      <c r="A62" t="s">
        <v>211</v>
      </c>
      <c r="B62" t="s">
        <v>188</v>
      </c>
    </row>
    <row r="63" spans="1:5" x14ac:dyDescent="0.25">
      <c r="A63" t="s">
        <v>211</v>
      </c>
      <c r="B63" t="s">
        <v>212</v>
      </c>
      <c r="C63">
        <v>840</v>
      </c>
      <c r="D63">
        <v>0.35</v>
      </c>
      <c r="E63">
        <v>294</v>
      </c>
    </row>
    <row r="64" spans="1:5" x14ac:dyDescent="0.25">
      <c r="A64" t="s">
        <v>211</v>
      </c>
      <c r="B64" t="s">
        <v>6</v>
      </c>
    </row>
    <row r="65" spans="1:5" x14ac:dyDescent="0.25">
      <c r="A65" t="s">
        <v>211</v>
      </c>
      <c r="B65" t="s">
        <v>7</v>
      </c>
      <c r="C65">
        <v>20382</v>
      </c>
      <c r="D65">
        <v>0.08</v>
      </c>
      <c r="E65">
        <v>1630.56</v>
      </c>
    </row>
    <row r="66" spans="1:5" x14ac:dyDescent="0.25">
      <c r="A66" t="s">
        <v>211</v>
      </c>
      <c r="B66" t="s">
        <v>212</v>
      </c>
      <c r="C66">
        <v>10</v>
      </c>
      <c r="D66">
        <v>0.35</v>
      </c>
      <c r="E66">
        <v>3.5</v>
      </c>
    </row>
    <row r="67" spans="1:5" x14ac:dyDescent="0.25">
      <c r="A67" t="s">
        <v>26</v>
      </c>
      <c r="B67" t="s">
        <v>27</v>
      </c>
    </row>
    <row r="68" spans="1:5" x14ac:dyDescent="0.25">
      <c r="A68" t="s">
        <v>26</v>
      </c>
      <c r="B68" t="s">
        <v>28</v>
      </c>
      <c r="C68">
        <v>2380</v>
      </c>
      <c r="D68">
        <v>0.35</v>
      </c>
      <c r="E68">
        <v>833</v>
      </c>
    </row>
    <row r="69" spans="1:5" x14ac:dyDescent="0.25">
      <c r="A69" t="s">
        <v>26</v>
      </c>
      <c r="B69" t="s">
        <v>6</v>
      </c>
    </row>
    <row r="70" spans="1:5" x14ac:dyDescent="0.25">
      <c r="A70" t="s">
        <v>26</v>
      </c>
      <c r="B70" t="s">
        <v>7</v>
      </c>
      <c r="C70">
        <v>34985</v>
      </c>
      <c r="D70">
        <v>0.08</v>
      </c>
      <c r="E70">
        <v>2798.8</v>
      </c>
    </row>
    <row r="71" spans="1:5" x14ac:dyDescent="0.25">
      <c r="A71" t="s">
        <v>26</v>
      </c>
      <c r="B71" t="s">
        <v>28</v>
      </c>
      <c r="C71">
        <v>10</v>
      </c>
      <c r="D71">
        <v>0.35</v>
      </c>
      <c r="E71">
        <v>3.5</v>
      </c>
    </row>
    <row r="72" spans="1:5" x14ac:dyDescent="0.25">
      <c r="A72" t="s">
        <v>213</v>
      </c>
      <c r="B72" t="s">
        <v>180</v>
      </c>
    </row>
    <row r="73" spans="1:5" x14ac:dyDescent="0.25">
      <c r="A73" t="s">
        <v>213</v>
      </c>
      <c r="B73" t="s">
        <v>214</v>
      </c>
      <c r="C73">
        <v>1294</v>
      </c>
      <c r="D73">
        <v>0.35</v>
      </c>
      <c r="E73">
        <v>452.9</v>
      </c>
    </row>
    <row r="74" spans="1:5" x14ac:dyDescent="0.25">
      <c r="A74" t="s">
        <v>213</v>
      </c>
      <c r="B74" t="s">
        <v>6</v>
      </c>
    </row>
    <row r="75" spans="1:5" x14ac:dyDescent="0.25">
      <c r="A75" t="s">
        <v>213</v>
      </c>
      <c r="B75" t="s">
        <v>7</v>
      </c>
      <c r="C75">
        <v>18094</v>
      </c>
      <c r="D75">
        <v>0.08</v>
      </c>
      <c r="E75">
        <v>1447.52</v>
      </c>
    </row>
    <row r="76" spans="1:5" x14ac:dyDescent="0.25">
      <c r="A76" t="s">
        <v>213</v>
      </c>
      <c r="B76" t="s">
        <v>214</v>
      </c>
      <c r="C76">
        <v>10</v>
      </c>
      <c r="D76">
        <v>0.35</v>
      </c>
      <c r="E76">
        <v>3.5</v>
      </c>
    </row>
    <row r="77" spans="1:5" x14ac:dyDescent="0.25">
      <c r="A77" t="s">
        <v>215</v>
      </c>
      <c r="B77" t="s">
        <v>196</v>
      </c>
    </row>
    <row r="78" spans="1:5" x14ac:dyDescent="0.25">
      <c r="A78" t="s">
        <v>215</v>
      </c>
      <c r="B78" t="s">
        <v>216</v>
      </c>
      <c r="C78">
        <v>1408</v>
      </c>
      <c r="D78">
        <v>0.35</v>
      </c>
      <c r="E78">
        <v>492.8</v>
      </c>
    </row>
    <row r="79" spans="1:5" x14ac:dyDescent="0.25">
      <c r="A79" t="s">
        <v>215</v>
      </c>
      <c r="B79" t="s">
        <v>6</v>
      </c>
    </row>
    <row r="80" spans="1:5" x14ac:dyDescent="0.25">
      <c r="A80" t="s">
        <v>215</v>
      </c>
      <c r="B80" t="s">
        <v>7</v>
      </c>
      <c r="C80">
        <v>24560</v>
      </c>
      <c r="D80">
        <v>0.08</v>
      </c>
      <c r="E80">
        <v>1964.8</v>
      </c>
    </row>
    <row r="81" spans="1:5" x14ac:dyDescent="0.25">
      <c r="A81" t="s">
        <v>215</v>
      </c>
      <c r="B81" t="s">
        <v>216</v>
      </c>
      <c r="C81">
        <v>10</v>
      </c>
      <c r="D81">
        <v>0.35</v>
      </c>
      <c r="E81">
        <v>3.5</v>
      </c>
    </row>
    <row r="82" spans="1:5" x14ac:dyDescent="0.25">
      <c r="A82" t="s">
        <v>109</v>
      </c>
      <c r="B82" t="s">
        <v>102</v>
      </c>
    </row>
    <row r="83" spans="1:5" x14ac:dyDescent="0.25">
      <c r="A83" t="s">
        <v>109</v>
      </c>
      <c r="B83" t="s">
        <v>103</v>
      </c>
      <c r="C83">
        <v>1633</v>
      </c>
      <c r="D83">
        <v>0.35</v>
      </c>
      <c r="E83">
        <v>571.54999999999995</v>
      </c>
    </row>
    <row r="84" spans="1:5" x14ac:dyDescent="0.25">
      <c r="A84" t="s">
        <v>109</v>
      </c>
      <c r="B84" t="s">
        <v>6</v>
      </c>
    </row>
    <row r="85" spans="1:5" x14ac:dyDescent="0.25">
      <c r="A85" t="s">
        <v>109</v>
      </c>
      <c r="B85" t="s">
        <v>7</v>
      </c>
      <c r="C85">
        <v>33726</v>
      </c>
      <c r="D85">
        <v>0.08</v>
      </c>
      <c r="E85">
        <v>2698.08</v>
      </c>
    </row>
    <row r="86" spans="1:5" x14ac:dyDescent="0.25">
      <c r="A86" t="s">
        <v>109</v>
      </c>
      <c r="B86" t="s">
        <v>103</v>
      </c>
      <c r="C86">
        <v>10</v>
      </c>
      <c r="D86">
        <v>0.35</v>
      </c>
      <c r="E86">
        <v>3.5</v>
      </c>
    </row>
    <row r="87" spans="1:5" x14ac:dyDescent="0.25">
      <c r="A87" t="s">
        <v>217</v>
      </c>
      <c r="B87" t="s">
        <v>185</v>
      </c>
    </row>
    <row r="88" spans="1:5" x14ac:dyDescent="0.25">
      <c r="A88" t="s">
        <v>217</v>
      </c>
      <c r="B88" t="s">
        <v>218</v>
      </c>
      <c r="C88">
        <v>666</v>
      </c>
      <c r="D88">
        <v>0.35</v>
      </c>
      <c r="E88">
        <v>233.1</v>
      </c>
    </row>
    <row r="89" spans="1:5" x14ac:dyDescent="0.25">
      <c r="A89" t="s">
        <v>217</v>
      </c>
      <c r="B89" t="s">
        <v>6</v>
      </c>
    </row>
    <row r="90" spans="1:5" x14ac:dyDescent="0.25">
      <c r="A90" t="s">
        <v>217</v>
      </c>
      <c r="B90" t="s">
        <v>7</v>
      </c>
      <c r="C90">
        <v>17055</v>
      </c>
      <c r="D90">
        <v>0.08</v>
      </c>
      <c r="E90">
        <v>1364.4</v>
      </c>
    </row>
    <row r="91" spans="1:5" x14ac:dyDescent="0.25">
      <c r="A91" t="s">
        <v>217</v>
      </c>
      <c r="B91" t="s">
        <v>218</v>
      </c>
      <c r="C91">
        <v>10</v>
      </c>
      <c r="D91">
        <v>0.35</v>
      </c>
      <c r="E91">
        <v>3.5</v>
      </c>
    </row>
    <row r="92" spans="1:5" x14ac:dyDescent="0.25">
      <c r="A92" t="s">
        <v>219</v>
      </c>
      <c r="B92" t="s">
        <v>10</v>
      </c>
    </row>
    <row r="93" spans="1:5" x14ac:dyDescent="0.25">
      <c r="A93" t="s">
        <v>219</v>
      </c>
      <c r="B93" t="s">
        <v>11</v>
      </c>
      <c r="C93">
        <v>1</v>
      </c>
      <c r="D93">
        <v>6.51</v>
      </c>
      <c r="E93">
        <v>6.51</v>
      </c>
    </row>
    <row r="94" spans="1:5" x14ac:dyDescent="0.25">
      <c r="A94" t="s">
        <v>220</v>
      </c>
      <c r="B94" t="s">
        <v>190</v>
      </c>
    </row>
    <row r="95" spans="1:5" x14ac:dyDescent="0.25">
      <c r="A95" t="s">
        <v>220</v>
      </c>
      <c r="B95" t="s">
        <v>221</v>
      </c>
      <c r="C95">
        <v>1364</v>
      </c>
      <c r="D95">
        <v>0.35</v>
      </c>
      <c r="E95">
        <v>477.4</v>
      </c>
    </row>
    <row r="96" spans="1:5" x14ac:dyDescent="0.25">
      <c r="A96" t="s">
        <v>220</v>
      </c>
      <c r="B96" t="s">
        <v>6</v>
      </c>
    </row>
    <row r="97" spans="1:5" x14ac:dyDescent="0.25">
      <c r="A97" t="s">
        <v>220</v>
      </c>
      <c r="B97" t="s">
        <v>7</v>
      </c>
      <c r="C97">
        <v>21757</v>
      </c>
      <c r="D97">
        <v>0.08</v>
      </c>
      <c r="E97">
        <v>1740.56</v>
      </c>
    </row>
    <row r="98" spans="1:5" x14ac:dyDescent="0.25">
      <c r="A98" t="s">
        <v>220</v>
      </c>
      <c r="B98" t="s">
        <v>221</v>
      </c>
      <c r="C98">
        <v>10</v>
      </c>
      <c r="D98">
        <v>0.35</v>
      </c>
      <c r="E98">
        <v>3.5</v>
      </c>
    </row>
    <row r="99" spans="1:5" x14ac:dyDescent="0.25">
      <c r="A99" t="s">
        <v>222</v>
      </c>
      <c r="B99" t="s">
        <v>189</v>
      </c>
    </row>
    <row r="100" spans="1:5" x14ac:dyDescent="0.25">
      <c r="A100" t="s">
        <v>222</v>
      </c>
      <c r="B100" t="s">
        <v>223</v>
      </c>
      <c r="C100">
        <v>1152</v>
      </c>
      <c r="D100">
        <v>0.35</v>
      </c>
      <c r="E100">
        <v>403.2</v>
      </c>
    </row>
    <row r="101" spans="1:5" x14ac:dyDescent="0.25">
      <c r="A101" t="s">
        <v>222</v>
      </c>
      <c r="B101" t="s">
        <v>6</v>
      </c>
    </row>
    <row r="102" spans="1:5" x14ac:dyDescent="0.25">
      <c r="A102" t="s">
        <v>222</v>
      </c>
      <c r="B102" t="s">
        <v>7</v>
      </c>
      <c r="C102">
        <v>19983</v>
      </c>
      <c r="D102">
        <v>0.08</v>
      </c>
      <c r="E102">
        <v>1598.64</v>
      </c>
    </row>
    <row r="103" spans="1:5" x14ac:dyDescent="0.25">
      <c r="A103" t="s">
        <v>222</v>
      </c>
      <c r="B103" t="s">
        <v>223</v>
      </c>
      <c r="C103">
        <v>10</v>
      </c>
      <c r="D103">
        <v>0.35</v>
      </c>
      <c r="E103">
        <v>3.5</v>
      </c>
    </row>
    <row r="104" spans="1:5" x14ac:dyDescent="0.25">
      <c r="A104" t="s">
        <v>224</v>
      </c>
      <c r="B104" t="s">
        <v>197</v>
      </c>
    </row>
    <row r="105" spans="1:5" x14ac:dyDescent="0.25">
      <c r="A105" t="s">
        <v>224</v>
      </c>
      <c r="B105" t="s">
        <v>225</v>
      </c>
      <c r="C105">
        <v>1424</v>
      </c>
      <c r="D105">
        <v>0.35</v>
      </c>
      <c r="E105">
        <v>498.4</v>
      </c>
    </row>
    <row r="106" spans="1:5" x14ac:dyDescent="0.25">
      <c r="A106" t="s">
        <v>224</v>
      </c>
      <c r="B106" t="s">
        <v>6</v>
      </c>
    </row>
    <row r="107" spans="1:5" x14ac:dyDescent="0.25">
      <c r="A107" t="s">
        <v>224</v>
      </c>
      <c r="B107" t="s">
        <v>7</v>
      </c>
      <c r="C107">
        <v>33330</v>
      </c>
      <c r="D107">
        <v>0.08</v>
      </c>
      <c r="E107">
        <v>2666.4</v>
      </c>
    </row>
    <row r="108" spans="1:5" x14ac:dyDescent="0.25">
      <c r="A108" t="s">
        <v>224</v>
      </c>
      <c r="B108" t="s">
        <v>225</v>
      </c>
      <c r="C108">
        <v>10</v>
      </c>
      <c r="D108">
        <v>0.35</v>
      </c>
      <c r="E108">
        <v>3.5</v>
      </c>
    </row>
    <row r="109" spans="1:5" x14ac:dyDescent="0.25">
      <c r="A109" t="s">
        <v>226</v>
      </c>
      <c r="B109" t="s">
        <v>10</v>
      </c>
    </row>
    <row r="110" spans="1:5" x14ac:dyDescent="0.25">
      <c r="A110" t="s">
        <v>226</v>
      </c>
      <c r="B110" t="s">
        <v>11</v>
      </c>
      <c r="C110">
        <v>1</v>
      </c>
      <c r="D110">
        <v>0.76</v>
      </c>
      <c r="E110">
        <v>0.76</v>
      </c>
    </row>
    <row r="111" spans="1:5" x14ac:dyDescent="0.25">
      <c r="A111" t="s">
        <v>227</v>
      </c>
      <c r="B111" t="s">
        <v>194</v>
      </c>
    </row>
    <row r="112" spans="1:5" x14ac:dyDescent="0.25">
      <c r="A112" t="s">
        <v>227</v>
      </c>
      <c r="B112" t="s">
        <v>228</v>
      </c>
      <c r="C112">
        <v>1553</v>
      </c>
      <c r="D112">
        <v>0.35</v>
      </c>
      <c r="E112">
        <v>543.54999999999995</v>
      </c>
    </row>
    <row r="113" spans="1:5" x14ac:dyDescent="0.25">
      <c r="A113" t="s">
        <v>227</v>
      </c>
      <c r="B113" t="s">
        <v>6</v>
      </c>
    </row>
    <row r="114" spans="1:5" x14ac:dyDescent="0.25">
      <c r="A114" t="s">
        <v>227</v>
      </c>
      <c r="B114" t="s">
        <v>7</v>
      </c>
      <c r="C114">
        <v>27739</v>
      </c>
      <c r="D114">
        <v>0.08</v>
      </c>
      <c r="E114">
        <v>2219.12</v>
      </c>
    </row>
    <row r="115" spans="1:5" x14ac:dyDescent="0.25">
      <c r="A115" t="s">
        <v>227</v>
      </c>
      <c r="B115" t="s">
        <v>228</v>
      </c>
      <c r="C115">
        <v>10</v>
      </c>
      <c r="D115">
        <v>0.35</v>
      </c>
      <c r="E115">
        <v>3.5</v>
      </c>
    </row>
    <row r="116" spans="1:5" x14ac:dyDescent="0.25">
      <c r="A116" t="s">
        <v>29</v>
      </c>
      <c r="B116" t="s">
        <v>10</v>
      </c>
    </row>
    <row r="117" spans="1:5" x14ac:dyDescent="0.25">
      <c r="A117" t="s">
        <v>29</v>
      </c>
      <c r="B117" t="s">
        <v>11</v>
      </c>
      <c r="C117">
        <v>1</v>
      </c>
      <c r="D117">
        <v>1.43</v>
      </c>
      <c r="E117">
        <v>1.43</v>
      </c>
    </row>
    <row r="118" spans="1:5" x14ac:dyDescent="0.25">
      <c r="A118" t="s">
        <v>30</v>
      </c>
      <c r="B118" t="s">
        <v>31</v>
      </c>
    </row>
    <row r="119" spans="1:5" x14ac:dyDescent="0.25">
      <c r="A119" t="s">
        <v>30</v>
      </c>
      <c r="B119" t="s">
        <v>32</v>
      </c>
      <c r="C119">
        <v>3033</v>
      </c>
      <c r="D119">
        <v>0.35</v>
      </c>
      <c r="E119">
        <v>1061.55</v>
      </c>
    </row>
    <row r="120" spans="1:5" x14ac:dyDescent="0.25">
      <c r="A120" t="s">
        <v>30</v>
      </c>
      <c r="B120" t="s">
        <v>6</v>
      </c>
    </row>
    <row r="121" spans="1:5" x14ac:dyDescent="0.25">
      <c r="A121" t="s">
        <v>30</v>
      </c>
      <c r="B121" t="s">
        <v>7</v>
      </c>
      <c r="C121">
        <v>40773</v>
      </c>
      <c r="D121">
        <v>0.08</v>
      </c>
      <c r="E121">
        <v>3261.84</v>
      </c>
    </row>
    <row r="122" spans="1:5" x14ac:dyDescent="0.25">
      <c r="A122" t="s">
        <v>30</v>
      </c>
      <c r="B122" t="s">
        <v>32</v>
      </c>
      <c r="C122">
        <v>10</v>
      </c>
      <c r="D122">
        <v>0.35</v>
      </c>
      <c r="E122">
        <v>3.5</v>
      </c>
    </row>
    <row r="123" spans="1:5" x14ac:dyDescent="0.25">
      <c r="A123" t="s">
        <v>33</v>
      </c>
      <c r="B123" t="s">
        <v>34</v>
      </c>
      <c r="C123">
        <v>1</v>
      </c>
      <c r="D123">
        <v>99</v>
      </c>
      <c r="E123">
        <v>99</v>
      </c>
    </row>
  </sheetData>
  <dataConsolidate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EADF4749-7D0E-4ADC-BDC5-F30F8A0F40A2}">
  <ds:schemaRefs/>
</ds:datastoreItem>
</file>

<file path=customXml/itemProps2.xml><?xml version="1.0" encoding="utf-8"?>
<ds:datastoreItem xmlns:ds="http://schemas.openxmlformats.org/officeDocument/2006/customXml" ds:itemID="{6061123C-36CB-4C78-9DFE-8E79B567C7BE}">
  <ds:schemaRefs/>
</ds:datastoreItem>
</file>

<file path=customXml/itemProps3.xml><?xml version="1.0" encoding="utf-8"?>
<ds:datastoreItem xmlns:ds="http://schemas.openxmlformats.org/officeDocument/2006/customXml" ds:itemID="{77CCCCCE-C93D-4330-BC2C-6220EC627059}">
  <ds:schemaRefs/>
</ds:datastoreItem>
</file>

<file path=customXml/itemProps4.xml><?xml version="1.0" encoding="utf-8"?>
<ds:datastoreItem xmlns:ds="http://schemas.openxmlformats.org/officeDocument/2006/customXml" ds:itemID="{BEF3288B-0746-43B7-AB1E-6B8293ACA8F5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5A57AEE6-74E5-4513-A96E-D9530C1D0765}">
  <ds:schemaRefs/>
</ds:datastoreItem>
</file>

<file path=customXml/itemProps6.xml><?xml version="1.0" encoding="utf-8"?>
<ds:datastoreItem xmlns:ds="http://schemas.openxmlformats.org/officeDocument/2006/customXml" ds:itemID="{E8CDB8BC-66D7-4935-A1D4-630C8062646D}">
  <ds:schemaRefs/>
</ds:datastoreItem>
</file>

<file path=customXml/itemProps7.xml><?xml version="1.0" encoding="utf-8"?>
<ds:datastoreItem xmlns:ds="http://schemas.openxmlformats.org/officeDocument/2006/customXml" ds:itemID="{EF2D38FA-9BDB-43C5-8A0C-D47C84BC559C}">
  <ds:schemaRefs/>
</ds:datastoreItem>
</file>

<file path=customXml/itemProps8.xml><?xml version="1.0" encoding="utf-8"?>
<ds:datastoreItem xmlns:ds="http://schemas.openxmlformats.org/officeDocument/2006/customXml" ds:itemID="{2B93B2CB-0D74-4985-8EBD-9EBA0B8FCB31}">
  <ds:schemaRefs/>
</ds:datastoreItem>
</file>

<file path=customXml/itemProps9.xml><?xml version="1.0" encoding="utf-8"?>
<ds:datastoreItem xmlns:ds="http://schemas.openxmlformats.org/officeDocument/2006/customXml" ds:itemID="{BA7F26F1-358D-4EC5-9DEF-1C9457A683A3}">
  <ds:schemaRefs/>
</ds:datastoreItem>
</file>

<file path=customXml/itemProps10.xml><?xml version="1.0" encoding="utf-8"?>
<ds:datastoreItem xmlns:ds="http://schemas.openxmlformats.org/officeDocument/2006/customXml" ds:itemID="{D4491D6A-88DE-4027-9FD1-26505195350C}">
  <ds:schemaRefs/>
</ds:datastoreItem>
</file>

<file path=customXml/itemProps11.xml><?xml version="1.0" encoding="utf-8"?>
<ds:datastoreItem xmlns:ds="http://schemas.openxmlformats.org/officeDocument/2006/customXml" ds:itemID="{EAF1159A-5261-4751-8991-A0F51C565B0A}">
  <ds:schemaRefs/>
</ds:datastoreItem>
</file>

<file path=customXml/itemProps12.xml><?xml version="1.0" encoding="utf-8"?>
<ds:datastoreItem xmlns:ds="http://schemas.openxmlformats.org/officeDocument/2006/customXml" ds:itemID="{76874592-6C9F-4440-AB04-A4D8EF51A281}">
  <ds:schemaRefs/>
</ds:datastoreItem>
</file>

<file path=customXml/itemProps13.xml><?xml version="1.0" encoding="utf-8"?>
<ds:datastoreItem xmlns:ds="http://schemas.openxmlformats.org/officeDocument/2006/customXml" ds:itemID="{286CD375-AA7C-48D4-ACE2-5A51530C9B59}">
  <ds:schemaRefs/>
</ds:datastoreItem>
</file>

<file path=customXml/itemProps14.xml><?xml version="1.0" encoding="utf-8"?>
<ds:datastoreItem xmlns:ds="http://schemas.openxmlformats.org/officeDocument/2006/customXml" ds:itemID="{8AD9286D-FE9D-4483-8282-59E2F3F0BEF5}">
  <ds:schemaRefs/>
</ds:datastoreItem>
</file>

<file path=customXml/itemProps15.xml><?xml version="1.0" encoding="utf-8"?>
<ds:datastoreItem xmlns:ds="http://schemas.openxmlformats.org/officeDocument/2006/customXml" ds:itemID="{0C64B5F2-3B20-43AB-B49F-B51E391042FD}">
  <ds:schemaRefs/>
</ds:datastoreItem>
</file>

<file path=customXml/itemProps16.xml><?xml version="1.0" encoding="utf-8"?>
<ds:datastoreItem xmlns:ds="http://schemas.openxmlformats.org/officeDocument/2006/customXml" ds:itemID="{946FA976-1CA2-4EDC-B0E3-19224316C216}">
  <ds:schemaRefs/>
</ds:datastoreItem>
</file>

<file path=customXml/itemProps17.xml><?xml version="1.0" encoding="utf-8"?>
<ds:datastoreItem xmlns:ds="http://schemas.openxmlformats.org/officeDocument/2006/customXml" ds:itemID="{1B4D9B69-8330-4279-B64E-202806DCE1D2}">
  <ds:schemaRefs/>
</ds:datastoreItem>
</file>

<file path=customXml/itemProps18.xml><?xml version="1.0" encoding="utf-8"?>
<ds:datastoreItem xmlns:ds="http://schemas.openxmlformats.org/officeDocument/2006/customXml" ds:itemID="{829004A8-E0E0-46F1-B6B2-44363BC3505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READ ME</vt:lpstr>
      <vt:lpstr>Pivot Table</vt:lpstr>
      <vt:lpstr>JustCall Quote</vt:lpstr>
      <vt:lpstr>SM8 Files and Coverage</vt:lpstr>
      <vt:lpstr>SM8 Numbers</vt:lpstr>
      <vt:lpstr>SM8 Cleaning</vt:lpstr>
      <vt:lpstr>SM8 Descriptions</vt:lpstr>
      <vt:lpstr>SM8 Invoices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 Veronica Siccion</dc:creator>
  <cp:lastModifiedBy>Nadine Veronica Siccion</cp:lastModifiedBy>
  <dcterms:created xsi:type="dcterms:W3CDTF">2025-07-29T04:13:07Z</dcterms:created>
  <dcterms:modified xsi:type="dcterms:W3CDTF">2025-08-03T06:26:49Z</dcterms:modified>
</cp:coreProperties>
</file>